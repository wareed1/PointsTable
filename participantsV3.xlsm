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Users\wareed\PointsTable2018\Bluefin Meet Preparation\Clubs\"/>
    </mc:Choice>
  </mc:AlternateContent>
  <xr:revisionPtr revIDLastSave="0" documentId="13_ncr:1_{39E2F973-8288-4428-ACEE-40EC77FADAE0}" xr6:coauthVersionLast="47" xr6:coauthVersionMax="47" xr10:uidLastSave="{00000000-0000-0000-0000-000000000000}"/>
  <bookViews>
    <workbookView xWindow="-120" yWindow="-120" windowWidth="29040" windowHeight="15840" activeTab="1" xr2:uid="{00000000-000D-0000-FFFF-FFFF00000000}"/>
  </bookViews>
  <sheets>
    <sheet name="participants" sheetId="2" r:id="rId1"/>
    <sheet name="clubs" sheetId="3" r:id="rId2"/>
    <sheet name="categories" sheetId="4" r:id="rId3"/>
    <sheet name="events" sheetId="5" r:id="rId4"/>
  </sheets>
  <functionGroups builtInGroupCount="19"/>
  <definedNames>
    <definedName name="B8ANDU">events!$B$2</definedName>
    <definedName name="BackEvents">events!$A$27:$C$40</definedName>
    <definedName name="BackNos">events!$B$27:$C$40</definedName>
    <definedName name="BreastEvents">events!$A$55:$C$68</definedName>
    <definedName name="BreastNos">events!$B$55:$C$68</definedName>
    <definedName name="categories">categories!$A$1:$A$14</definedName>
    <definedName name="club">clubs!$B$19</definedName>
    <definedName name="clubs">clubs!$A$1:$A$13</definedName>
    <definedName name="competitive">categories!$B$1:$B$2</definedName>
    <definedName name="firstSwimmers">clubs!$B$1:$B$12</definedName>
    <definedName name="FlyEvents">events!$A$41:$C$54</definedName>
    <definedName name="FlyNos">events!$B$41:$C$54</definedName>
    <definedName name="FreeEvents">events!$A$13:$C$26</definedName>
    <definedName name="FreeNos">events!$B$13:$C$26</definedName>
    <definedName name="G8ANDU">events!$B$1</definedName>
    <definedName name="IMEvents">events!$A$1:$C$12</definedName>
    <definedName name="IMNos">events!$B$1:$C$12</definedName>
    <definedName name="_xlnm.Print_Titles" localSheetId="0">participants!$1:$5</definedName>
    <definedName name="startNum">clubs!$B$20</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20" i="3" l="1"/>
  <c r="A6" i="2" l="1"/>
  <c r="C6" i="2"/>
  <c r="K6" i="2"/>
  <c r="L6" i="2" s="1"/>
  <c r="M6" i="2"/>
  <c r="N6" i="2" s="1"/>
  <c r="O6" i="2"/>
  <c r="P6" i="2"/>
  <c r="Q6" i="2"/>
  <c r="R6" i="2"/>
  <c r="S6" i="2"/>
  <c r="T6" i="2" s="1"/>
  <c r="C7" i="2"/>
  <c r="K7" i="2"/>
  <c r="L7" i="2"/>
  <c r="M7" i="2"/>
  <c r="N7" i="2" s="1"/>
  <c r="O7" i="2"/>
  <c r="P7" i="2" s="1"/>
  <c r="Q7" i="2"/>
  <c r="R7" i="2" s="1"/>
  <c r="S7" i="2"/>
  <c r="T7" i="2" s="1"/>
  <c r="A8" i="2"/>
  <c r="C8" i="2"/>
  <c r="K8" i="2"/>
  <c r="L8" i="2"/>
  <c r="M8" i="2"/>
  <c r="N8" i="2"/>
  <c r="O8" i="2"/>
  <c r="P8" i="2"/>
  <c r="Q8" i="2"/>
  <c r="R8" i="2"/>
  <c r="S8" i="2"/>
  <c r="T8" i="2"/>
  <c r="A9" i="2"/>
  <c r="C9" i="2"/>
  <c r="K9" i="2"/>
  <c r="L9" i="2"/>
  <c r="M9" i="2"/>
  <c r="N9" i="2"/>
  <c r="O9" i="2"/>
  <c r="P9" i="2"/>
  <c r="Q9" i="2"/>
  <c r="R9" i="2"/>
  <c r="S9" i="2"/>
  <c r="T9" i="2"/>
  <c r="A10" i="2"/>
  <c r="C10" i="2"/>
  <c r="K10" i="2"/>
  <c r="L10" i="2"/>
  <c r="M10" i="2"/>
  <c r="N10" i="2"/>
  <c r="O10" i="2"/>
  <c r="P10" i="2"/>
  <c r="Q10" i="2"/>
  <c r="R10" i="2"/>
  <c r="S10" i="2"/>
  <c r="T10" i="2"/>
  <c r="A11" i="2"/>
  <c r="C11" i="2"/>
  <c r="K11" i="2"/>
  <c r="L11" i="2"/>
  <c r="M11" i="2"/>
  <c r="N11" i="2"/>
  <c r="O11" i="2"/>
  <c r="P11" i="2"/>
  <c r="Q11" i="2"/>
  <c r="R11" i="2"/>
  <c r="S11" i="2"/>
  <c r="T11" i="2"/>
  <c r="A12" i="2"/>
  <c r="C12" i="2"/>
  <c r="K12" i="2"/>
  <c r="L12" i="2"/>
  <c r="M12" i="2"/>
  <c r="N12" i="2"/>
  <c r="O12" i="2"/>
  <c r="P12" i="2"/>
  <c r="Q12" i="2"/>
  <c r="R12" i="2"/>
  <c r="S12" i="2"/>
  <c r="T12" i="2"/>
  <c r="A13" i="2"/>
  <c r="C13" i="2"/>
  <c r="K13" i="2"/>
  <c r="L13" i="2"/>
  <c r="M13" i="2"/>
  <c r="N13" i="2"/>
  <c r="O13" i="2"/>
  <c r="P13" i="2"/>
  <c r="Q13" i="2"/>
  <c r="R13" i="2"/>
  <c r="S13" i="2"/>
  <c r="T13" i="2"/>
  <c r="A14" i="2"/>
  <c r="C14" i="2"/>
  <c r="K14" i="2"/>
  <c r="L14" i="2"/>
  <c r="M14" i="2"/>
  <c r="N14" i="2"/>
  <c r="O14" i="2"/>
  <c r="P14" i="2"/>
  <c r="Q14" i="2"/>
  <c r="R14" i="2"/>
  <c r="S14" i="2"/>
  <c r="T14" i="2"/>
  <c r="A15" i="2"/>
  <c r="C15" i="2"/>
  <c r="K15" i="2"/>
  <c r="L15" i="2"/>
  <c r="M15" i="2"/>
  <c r="N15" i="2"/>
  <c r="O15" i="2"/>
  <c r="P15" i="2"/>
  <c r="Q15" i="2"/>
  <c r="R15" i="2"/>
  <c r="S15" i="2"/>
  <c r="T15" i="2"/>
  <c r="A16" i="2"/>
  <c r="C16" i="2"/>
  <c r="K16" i="2"/>
  <c r="L16" i="2"/>
  <c r="M16" i="2"/>
  <c r="N16" i="2"/>
  <c r="O16" i="2"/>
  <c r="P16" i="2"/>
  <c r="Q16" i="2"/>
  <c r="R16" i="2"/>
  <c r="S16" i="2"/>
  <c r="T16" i="2"/>
  <c r="A17" i="2"/>
  <c r="C17" i="2"/>
  <c r="K17" i="2"/>
  <c r="L17" i="2"/>
  <c r="M17" i="2"/>
  <c r="N17" i="2"/>
  <c r="O17" i="2"/>
  <c r="P17" i="2"/>
  <c r="Q17" i="2"/>
  <c r="R17" i="2"/>
  <c r="S17" i="2"/>
  <c r="T17" i="2"/>
  <c r="A18" i="2"/>
  <c r="C18" i="2"/>
  <c r="K18" i="2"/>
  <c r="L18" i="2"/>
  <c r="M18" i="2"/>
  <c r="N18" i="2"/>
  <c r="O18" i="2"/>
  <c r="P18" i="2"/>
  <c r="Q18" i="2"/>
  <c r="R18" i="2"/>
  <c r="S18" i="2"/>
  <c r="T18" i="2"/>
  <c r="A19" i="2"/>
  <c r="C19" i="2"/>
  <c r="K19" i="2"/>
  <c r="L19" i="2"/>
  <c r="M19" i="2"/>
  <c r="N19" i="2"/>
  <c r="O19" i="2"/>
  <c r="P19" i="2"/>
  <c r="Q19" i="2"/>
  <c r="R19" i="2"/>
  <c r="S19" i="2"/>
  <c r="T19" i="2"/>
  <c r="A20" i="2"/>
  <c r="C20" i="2"/>
  <c r="K20" i="2"/>
  <c r="L20" i="2"/>
  <c r="M20" i="2"/>
  <c r="N20" i="2"/>
  <c r="O20" i="2"/>
  <c r="P20" i="2"/>
  <c r="Q20" i="2"/>
  <c r="R20" i="2"/>
  <c r="S20" i="2"/>
  <c r="T20" i="2"/>
  <c r="A21" i="2"/>
  <c r="C21" i="2"/>
  <c r="K21" i="2"/>
  <c r="L21" i="2"/>
  <c r="M21" i="2"/>
  <c r="N21" i="2"/>
  <c r="O21" i="2"/>
  <c r="P21" i="2"/>
  <c r="Q21" i="2"/>
  <c r="R21" i="2"/>
  <c r="S21" i="2"/>
  <c r="T21" i="2"/>
  <c r="A22" i="2"/>
  <c r="C22" i="2"/>
  <c r="K22" i="2"/>
  <c r="L22" i="2"/>
  <c r="M22" i="2"/>
  <c r="N22" i="2"/>
  <c r="O22" i="2"/>
  <c r="P22" i="2"/>
  <c r="Q22" i="2"/>
  <c r="R22" i="2"/>
  <c r="S22" i="2"/>
  <c r="T22" i="2"/>
  <c r="A23" i="2"/>
  <c r="C23" i="2"/>
  <c r="K23" i="2"/>
  <c r="L23" i="2"/>
  <c r="M23" i="2"/>
  <c r="N23" i="2"/>
  <c r="O23" i="2"/>
  <c r="P23" i="2"/>
  <c r="Q23" i="2"/>
  <c r="R23" i="2"/>
  <c r="S23" i="2"/>
  <c r="T23" i="2"/>
  <c r="A24" i="2"/>
  <c r="C24" i="2"/>
  <c r="K24" i="2"/>
  <c r="L24" i="2"/>
  <c r="M24" i="2"/>
  <c r="N24" i="2"/>
  <c r="O24" i="2"/>
  <c r="P24" i="2"/>
  <c r="Q24" i="2"/>
  <c r="R24" i="2"/>
  <c r="S24" i="2"/>
  <c r="T24" i="2"/>
  <c r="A25" i="2"/>
  <c r="C25" i="2"/>
  <c r="K25" i="2"/>
  <c r="L25" i="2"/>
  <c r="M25" i="2"/>
  <c r="N25" i="2"/>
  <c r="O25" i="2"/>
  <c r="P25" i="2"/>
  <c r="Q25" i="2"/>
  <c r="R25" i="2"/>
  <c r="S25" i="2"/>
  <c r="T25" i="2"/>
  <c r="A26" i="2"/>
  <c r="C26" i="2"/>
  <c r="K26" i="2"/>
  <c r="L26" i="2"/>
  <c r="M26" i="2"/>
  <c r="N26" i="2"/>
  <c r="O26" i="2"/>
  <c r="P26" i="2"/>
  <c r="Q26" i="2"/>
  <c r="R26" i="2"/>
  <c r="S26" i="2"/>
  <c r="T26" i="2"/>
  <c r="A27" i="2"/>
  <c r="C27" i="2"/>
  <c r="K27" i="2"/>
  <c r="L27" i="2"/>
  <c r="M27" i="2"/>
  <c r="N27" i="2"/>
  <c r="O27" i="2"/>
  <c r="P27" i="2"/>
  <c r="Q27" i="2"/>
  <c r="R27" i="2"/>
  <c r="S27" i="2"/>
  <c r="T27" i="2"/>
  <c r="A28" i="2"/>
  <c r="C28" i="2"/>
  <c r="K28" i="2"/>
  <c r="L28" i="2"/>
  <c r="M28" i="2"/>
  <c r="N28" i="2"/>
  <c r="O28" i="2"/>
  <c r="P28" i="2"/>
  <c r="Q28" i="2"/>
  <c r="R28" i="2"/>
  <c r="S28" i="2"/>
  <c r="T28" i="2"/>
  <c r="A29" i="2"/>
  <c r="C29" i="2"/>
  <c r="K29" i="2"/>
  <c r="L29" i="2"/>
  <c r="M29" i="2"/>
  <c r="N29" i="2"/>
  <c r="O29" i="2"/>
  <c r="P29" i="2"/>
  <c r="Q29" i="2"/>
  <c r="R29" i="2"/>
  <c r="S29" i="2"/>
  <c r="T29" i="2"/>
  <c r="A30" i="2"/>
  <c r="C30" i="2"/>
  <c r="K30" i="2"/>
  <c r="L30" i="2"/>
  <c r="M30" i="2"/>
  <c r="N30" i="2"/>
  <c r="O30" i="2"/>
  <c r="P30" i="2"/>
  <c r="Q30" i="2"/>
  <c r="R30" i="2"/>
  <c r="S30" i="2"/>
  <c r="T30" i="2"/>
  <c r="A31" i="2"/>
  <c r="C31" i="2"/>
  <c r="K31" i="2"/>
  <c r="L31" i="2"/>
  <c r="M31" i="2"/>
  <c r="N31" i="2"/>
  <c r="O31" i="2"/>
  <c r="P31" i="2"/>
  <c r="Q31" i="2"/>
  <c r="R31" i="2"/>
  <c r="S31" i="2"/>
  <c r="T31" i="2"/>
  <c r="A32" i="2"/>
  <c r="C32" i="2"/>
  <c r="K32" i="2"/>
  <c r="L32" i="2"/>
  <c r="M32" i="2"/>
  <c r="N32" i="2"/>
  <c r="O32" i="2"/>
  <c r="P32" i="2"/>
  <c r="Q32" i="2"/>
  <c r="R32" i="2"/>
  <c r="S32" i="2"/>
  <c r="T32" i="2"/>
  <c r="A33" i="2"/>
  <c r="C33" i="2"/>
  <c r="K33" i="2"/>
  <c r="L33" i="2"/>
  <c r="M33" i="2"/>
  <c r="N33" i="2"/>
  <c r="O33" i="2"/>
  <c r="P33" i="2"/>
  <c r="Q33" i="2"/>
  <c r="R33" i="2"/>
  <c r="S33" i="2"/>
  <c r="T33" i="2"/>
  <c r="A34" i="2"/>
  <c r="C34" i="2"/>
  <c r="K34" i="2"/>
  <c r="L34" i="2"/>
  <c r="M34" i="2"/>
  <c r="N34" i="2"/>
  <c r="O34" i="2"/>
  <c r="P34" i="2"/>
  <c r="Q34" i="2"/>
  <c r="R34" i="2"/>
  <c r="S34" i="2"/>
  <c r="T34" i="2"/>
  <c r="A35" i="2"/>
  <c r="C35" i="2"/>
  <c r="K35" i="2"/>
  <c r="L35" i="2"/>
  <c r="M35" i="2"/>
  <c r="N35" i="2"/>
  <c r="O35" i="2"/>
  <c r="P35" i="2"/>
  <c r="Q35" i="2"/>
  <c r="R35" i="2"/>
  <c r="S35" i="2"/>
  <c r="T35" i="2"/>
  <c r="A36" i="2"/>
  <c r="C36" i="2"/>
  <c r="K36" i="2"/>
  <c r="L36" i="2"/>
  <c r="M36" i="2"/>
  <c r="N36" i="2"/>
  <c r="O36" i="2"/>
  <c r="P36" i="2"/>
  <c r="Q36" i="2"/>
  <c r="R36" i="2"/>
  <c r="S36" i="2"/>
  <c r="T36" i="2"/>
  <c r="A37" i="2"/>
  <c r="C37" i="2"/>
  <c r="K37" i="2"/>
  <c r="L37" i="2"/>
  <c r="M37" i="2"/>
  <c r="N37" i="2"/>
  <c r="O37" i="2"/>
  <c r="P37" i="2"/>
  <c r="Q37" i="2"/>
  <c r="R37" i="2"/>
  <c r="S37" i="2"/>
  <c r="T37" i="2"/>
  <c r="A38" i="2"/>
  <c r="C38" i="2"/>
  <c r="K38" i="2"/>
  <c r="L38" i="2"/>
  <c r="M38" i="2"/>
  <c r="N38" i="2"/>
  <c r="O38" i="2"/>
  <c r="P38" i="2"/>
  <c r="Q38" i="2"/>
  <c r="R38" i="2"/>
  <c r="S38" i="2"/>
  <c r="T38" i="2"/>
  <c r="A39" i="2"/>
  <c r="C39" i="2"/>
  <c r="K39" i="2"/>
  <c r="L39" i="2"/>
  <c r="M39" i="2"/>
  <c r="N39" i="2"/>
  <c r="O39" i="2"/>
  <c r="P39" i="2"/>
  <c r="Q39" i="2"/>
  <c r="R39" i="2"/>
  <c r="S39" i="2"/>
  <c r="T39" i="2"/>
  <c r="A40" i="2"/>
  <c r="C40" i="2"/>
  <c r="K40" i="2"/>
  <c r="L40" i="2"/>
  <c r="M40" i="2"/>
  <c r="N40" i="2"/>
  <c r="O40" i="2"/>
  <c r="P40" i="2"/>
  <c r="Q40" i="2"/>
  <c r="R40" i="2"/>
  <c r="S40" i="2"/>
  <c r="T40" i="2"/>
  <c r="A41" i="2"/>
  <c r="C41" i="2"/>
  <c r="K41" i="2"/>
  <c r="L41" i="2"/>
  <c r="M41" i="2"/>
  <c r="N41" i="2"/>
  <c r="O41" i="2"/>
  <c r="P41" i="2"/>
  <c r="Q41" i="2"/>
  <c r="R41" i="2"/>
  <c r="S41" i="2"/>
  <c r="T41" i="2"/>
  <c r="A42" i="2"/>
  <c r="C42" i="2"/>
  <c r="K42" i="2"/>
  <c r="L42" i="2"/>
  <c r="M42" i="2"/>
  <c r="N42" i="2"/>
  <c r="O42" i="2"/>
  <c r="P42" i="2"/>
  <c r="Q42" i="2"/>
  <c r="R42" i="2"/>
  <c r="S42" i="2"/>
  <c r="T42" i="2"/>
  <c r="A43" i="2"/>
  <c r="C43" i="2"/>
  <c r="K43" i="2"/>
  <c r="L43" i="2"/>
  <c r="M43" i="2"/>
  <c r="N43" i="2"/>
  <c r="O43" i="2"/>
  <c r="P43" i="2"/>
  <c r="Q43" i="2"/>
  <c r="R43" i="2"/>
  <c r="S43" i="2"/>
  <c r="T43" i="2"/>
  <c r="A44" i="2"/>
  <c r="C44" i="2"/>
  <c r="K44" i="2"/>
  <c r="L44" i="2"/>
  <c r="M44" i="2"/>
  <c r="N44" i="2"/>
  <c r="O44" i="2"/>
  <c r="P44" i="2"/>
  <c r="Q44" i="2"/>
  <c r="R44" i="2"/>
  <c r="S44" i="2"/>
  <c r="T44" i="2"/>
  <c r="A45" i="2"/>
  <c r="C45" i="2"/>
  <c r="K45" i="2"/>
  <c r="L45" i="2"/>
  <c r="M45" i="2"/>
  <c r="N45" i="2"/>
  <c r="O45" i="2"/>
  <c r="P45" i="2"/>
  <c r="Q45" i="2"/>
  <c r="R45" i="2"/>
  <c r="S45" i="2"/>
  <c r="T45" i="2"/>
  <c r="A46" i="2"/>
  <c r="C46" i="2"/>
  <c r="K46" i="2"/>
  <c r="L46" i="2"/>
  <c r="M46" i="2"/>
  <c r="N46" i="2"/>
  <c r="O46" i="2"/>
  <c r="P46" i="2"/>
  <c r="Q46" i="2"/>
  <c r="R46" i="2"/>
  <c r="S46" i="2"/>
  <c r="T46" i="2"/>
  <c r="A47" i="2"/>
  <c r="C47" i="2"/>
  <c r="K47" i="2"/>
  <c r="L47" i="2"/>
  <c r="M47" i="2"/>
  <c r="N47" i="2"/>
  <c r="O47" i="2"/>
  <c r="P47" i="2"/>
  <c r="Q47" i="2"/>
  <c r="R47" i="2"/>
  <c r="S47" i="2"/>
  <c r="T47" i="2"/>
  <c r="A48" i="2"/>
  <c r="C48" i="2"/>
  <c r="K48" i="2"/>
  <c r="L48" i="2"/>
  <c r="M48" i="2"/>
  <c r="N48" i="2"/>
  <c r="O48" i="2"/>
  <c r="P48" i="2"/>
  <c r="Q48" i="2"/>
  <c r="R48" i="2"/>
  <c r="S48" i="2"/>
  <c r="T48" i="2"/>
  <c r="A49" i="2"/>
  <c r="C49" i="2"/>
  <c r="K49" i="2"/>
  <c r="L49" i="2"/>
  <c r="M49" i="2"/>
  <c r="N49" i="2"/>
  <c r="O49" i="2"/>
  <c r="P49" i="2"/>
  <c r="Q49" i="2"/>
  <c r="R49" i="2"/>
  <c r="S49" i="2"/>
  <c r="T49" i="2"/>
  <c r="A50" i="2"/>
  <c r="C50" i="2"/>
  <c r="K50" i="2"/>
  <c r="L50" i="2"/>
  <c r="M50" i="2"/>
  <c r="N50" i="2"/>
  <c r="O50" i="2"/>
  <c r="P50" i="2"/>
  <c r="Q50" i="2"/>
  <c r="R50" i="2"/>
  <c r="S50" i="2"/>
  <c r="T50" i="2"/>
  <c r="A51" i="2"/>
  <c r="C51" i="2"/>
  <c r="K51" i="2"/>
  <c r="L51" i="2"/>
  <c r="M51" i="2"/>
  <c r="N51" i="2"/>
  <c r="O51" i="2"/>
  <c r="P51" i="2"/>
  <c r="Q51" i="2"/>
  <c r="R51" i="2"/>
  <c r="S51" i="2"/>
  <c r="T51" i="2"/>
  <c r="A52" i="2"/>
  <c r="C52" i="2"/>
  <c r="K52" i="2"/>
  <c r="L52" i="2"/>
  <c r="M52" i="2"/>
  <c r="N52" i="2"/>
  <c r="O52" i="2"/>
  <c r="P52" i="2"/>
  <c r="Q52" i="2"/>
  <c r="R52" i="2"/>
  <c r="S52" i="2"/>
  <c r="T52" i="2"/>
  <c r="A53" i="2"/>
  <c r="C53" i="2"/>
  <c r="K53" i="2"/>
  <c r="L53" i="2"/>
  <c r="M53" i="2"/>
  <c r="N53" i="2"/>
  <c r="O53" i="2"/>
  <c r="P53" i="2"/>
  <c r="Q53" i="2"/>
  <c r="R53" i="2"/>
  <c r="S53" i="2"/>
  <c r="T53" i="2"/>
  <c r="A54" i="2"/>
  <c r="C54" i="2"/>
  <c r="K54" i="2"/>
  <c r="L54" i="2"/>
  <c r="M54" i="2"/>
  <c r="N54" i="2"/>
  <c r="O54" i="2"/>
  <c r="P54" i="2"/>
  <c r="Q54" i="2"/>
  <c r="R54" i="2"/>
  <c r="S54" i="2"/>
  <c r="T54" i="2"/>
  <c r="A55" i="2"/>
  <c r="C55" i="2"/>
  <c r="K55" i="2"/>
  <c r="L55" i="2"/>
  <c r="M55" i="2"/>
  <c r="N55" i="2"/>
  <c r="O55" i="2"/>
  <c r="P55" i="2"/>
  <c r="Q55" i="2"/>
  <c r="R55" i="2"/>
  <c r="S55" i="2"/>
  <c r="T55" i="2"/>
  <c r="A56" i="2"/>
  <c r="C56" i="2"/>
  <c r="K56" i="2"/>
  <c r="L56" i="2"/>
  <c r="M56" i="2"/>
  <c r="N56" i="2"/>
  <c r="O56" i="2"/>
  <c r="P56" i="2"/>
  <c r="Q56" i="2"/>
  <c r="R56" i="2"/>
  <c r="S56" i="2"/>
  <c r="T56" i="2"/>
  <c r="A57" i="2"/>
  <c r="C57" i="2"/>
  <c r="K57" i="2"/>
  <c r="L57" i="2"/>
  <c r="M57" i="2"/>
  <c r="N57" i="2"/>
  <c r="O57" i="2"/>
  <c r="P57" i="2"/>
  <c r="Q57" i="2"/>
  <c r="R57" i="2"/>
  <c r="S57" i="2"/>
  <c r="T57" i="2"/>
  <c r="A58" i="2"/>
  <c r="C58" i="2"/>
  <c r="K58" i="2"/>
  <c r="L58" i="2"/>
  <c r="M58" i="2"/>
  <c r="N58" i="2"/>
  <c r="O58" i="2"/>
  <c r="P58" i="2"/>
  <c r="Q58" i="2"/>
  <c r="R58" i="2"/>
  <c r="S58" i="2"/>
  <c r="T58" i="2"/>
  <c r="A59" i="2"/>
  <c r="C59" i="2"/>
  <c r="K59" i="2"/>
  <c r="L59" i="2"/>
  <c r="M59" i="2"/>
  <c r="N59" i="2"/>
  <c r="O59" i="2"/>
  <c r="P59" i="2"/>
  <c r="Q59" i="2"/>
  <c r="R59" i="2"/>
  <c r="S59" i="2"/>
  <c r="T59" i="2"/>
  <c r="A60" i="2"/>
  <c r="C60" i="2"/>
  <c r="K60" i="2"/>
  <c r="L60" i="2"/>
  <c r="M60" i="2"/>
  <c r="N60" i="2"/>
  <c r="O60" i="2"/>
  <c r="P60" i="2"/>
  <c r="Q60" i="2"/>
  <c r="R60" i="2"/>
  <c r="S60" i="2"/>
  <c r="T60" i="2"/>
  <c r="A61" i="2"/>
  <c r="C61" i="2"/>
  <c r="K61" i="2"/>
  <c r="L61" i="2"/>
  <c r="M61" i="2"/>
  <c r="N61" i="2"/>
  <c r="O61" i="2"/>
  <c r="P61" i="2"/>
  <c r="Q61" i="2"/>
  <c r="R61" i="2"/>
  <c r="S61" i="2"/>
  <c r="T61" i="2"/>
  <c r="A62" i="2"/>
  <c r="C62" i="2"/>
  <c r="K62" i="2"/>
  <c r="L62" i="2"/>
  <c r="M62" i="2"/>
  <c r="N62" i="2"/>
  <c r="O62" i="2"/>
  <c r="P62" i="2"/>
  <c r="Q62" i="2"/>
  <c r="R62" i="2"/>
  <c r="S62" i="2"/>
  <c r="T62" i="2"/>
  <c r="A63" i="2"/>
  <c r="C63" i="2"/>
  <c r="K63" i="2"/>
  <c r="L63" i="2"/>
  <c r="M63" i="2"/>
  <c r="N63" i="2"/>
  <c r="O63" i="2"/>
  <c r="P63" i="2"/>
  <c r="Q63" i="2"/>
  <c r="R63" i="2"/>
  <c r="S63" i="2"/>
  <c r="T63" i="2"/>
  <c r="A64" i="2"/>
  <c r="C64" i="2"/>
  <c r="K64" i="2"/>
  <c r="L64" i="2"/>
  <c r="M64" i="2"/>
  <c r="N64" i="2"/>
  <c r="O64" i="2"/>
  <c r="P64" i="2"/>
  <c r="Q64" i="2"/>
  <c r="R64" i="2"/>
  <c r="S64" i="2"/>
  <c r="T64" i="2"/>
  <c r="A65" i="2"/>
  <c r="C65" i="2"/>
  <c r="K65" i="2"/>
  <c r="L65" i="2"/>
  <c r="M65" i="2"/>
  <c r="N65" i="2"/>
  <c r="O65" i="2"/>
  <c r="P65" i="2"/>
  <c r="Q65" i="2"/>
  <c r="R65" i="2"/>
  <c r="S65" i="2"/>
  <c r="T65" i="2"/>
  <c r="A66" i="2"/>
  <c r="C66" i="2"/>
  <c r="K66" i="2"/>
  <c r="L66" i="2"/>
  <c r="M66" i="2"/>
  <c r="N66" i="2"/>
  <c r="O66" i="2"/>
  <c r="P66" i="2"/>
  <c r="Q66" i="2"/>
  <c r="R66" i="2"/>
  <c r="S66" i="2"/>
  <c r="T66" i="2"/>
  <c r="A67" i="2"/>
  <c r="C67" i="2"/>
  <c r="K67" i="2"/>
  <c r="L67" i="2"/>
  <c r="M67" i="2"/>
  <c r="N67" i="2"/>
  <c r="O67" i="2"/>
  <c r="P67" i="2"/>
  <c r="Q67" i="2"/>
  <c r="R67" i="2"/>
  <c r="S67" i="2"/>
  <c r="T67" i="2"/>
  <c r="A68" i="2"/>
  <c r="C68" i="2"/>
  <c r="K68" i="2"/>
  <c r="L68" i="2"/>
  <c r="M68" i="2"/>
  <c r="N68" i="2"/>
  <c r="O68" i="2"/>
  <c r="P68" i="2"/>
  <c r="Q68" i="2"/>
  <c r="R68" i="2"/>
  <c r="S68" i="2"/>
  <c r="T68" i="2"/>
  <c r="A69" i="2"/>
  <c r="C69" i="2"/>
  <c r="K69" i="2"/>
  <c r="L69" i="2"/>
  <c r="M69" i="2"/>
  <c r="N69" i="2"/>
  <c r="O69" i="2"/>
  <c r="P69" i="2"/>
  <c r="Q69" i="2"/>
  <c r="R69" i="2"/>
  <c r="S69" i="2"/>
  <c r="T69" i="2"/>
  <c r="A70" i="2"/>
  <c r="C70" i="2"/>
  <c r="K70" i="2"/>
  <c r="L70" i="2"/>
  <c r="M70" i="2"/>
  <c r="N70" i="2"/>
  <c r="O70" i="2"/>
  <c r="P70" i="2"/>
  <c r="Q70" i="2"/>
  <c r="R70" i="2"/>
  <c r="S70" i="2"/>
  <c r="T70" i="2"/>
  <c r="A71" i="2"/>
  <c r="C71" i="2"/>
  <c r="K71" i="2"/>
  <c r="L71" i="2"/>
  <c r="M71" i="2"/>
  <c r="N71" i="2"/>
  <c r="O71" i="2"/>
  <c r="P71" i="2"/>
  <c r="Q71" i="2"/>
  <c r="R71" i="2"/>
  <c r="S71" i="2"/>
  <c r="T71" i="2"/>
  <c r="A72" i="2"/>
  <c r="C72" i="2"/>
  <c r="K72" i="2"/>
  <c r="L72" i="2"/>
  <c r="M72" i="2"/>
  <c r="N72" i="2"/>
  <c r="O72" i="2"/>
  <c r="P72" i="2"/>
  <c r="Q72" i="2"/>
  <c r="R72" i="2"/>
  <c r="S72" i="2"/>
  <c r="T72" i="2"/>
  <c r="A73" i="2"/>
  <c r="C73" i="2"/>
  <c r="K73" i="2"/>
  <c r="L73" i="2"/>
  <c r="M73" i="2"/>
  <c r="N73" i="2"/>
  <c r="O73" i="2"/>
  <c r="P73" i="2"/>
  <c r="Q73" i="2"/>
  <c r="R73" i="2"/>
  <c r="S73" i="2"/>
  <c r="T73" i="2"/>
  <c r="A74" i="2"/>
  <c r="C74" i="2"/>
  <c r="K74" i="2"/>
  <c r="L74" i="2"/>
  <c r="M74" i="2"/>
  <c r="N74" i="2"/>
  <c r="O74" i="2"/>
  <c r="P74" i="2"/>
  <c r="Q74" i="2"/>
  <c r="R74" i="2"/>
  <c r="S74" i="2"/>
  <c r="T74" i="2"/>
  <c r="A75" i="2"/>
  <c r="C75" i="2"/>
  <c r="K75" i="2"/>
  <c r="L75" i="2"/>
  <c r="M75" i="2"/>
  <c r="N75" i="2"/>
  <c r="O75" i="2"/>
  <c r="P75" i="2"/>
  <c r="Q75" i="2"/>
  <c r="R75" i="2"/>
  <c r="S75" i="2"/>
  <c r="T75" i="2"/>
  <c r="A76" i="2"/>
  <c r="C76" i="2"/>
  <c r="K76" i="2"/>
  <c r="L76" i="2"/>
  <c r="M76" i="2"/>
  <c r="N76" i="2"/>
  <c r="O76" i="2"/>
  <c r="P76" i="2"/>
  <c r="Q76" i="2"/>
  <c r="R76" i="2"/>
  <c r="S76" i="2"/>
  <c r="T76" i="2"/>
  <c r="A77" i="2"/>
  <c r="C77" i="2"/>
  <c r="K77" i="2"/>
  <c r="L77" i="2"/>
  <c r="M77" i="2"/>
  <c r="N77" i="2"/>
  <c r="O77" i="2"/>
  <c r="P77" i="2"/>
  <c r="Q77" i="2"/>
  <c r="R77" i="2"/>
  <c r="S77" i="2"/>
  <c r="T77" i="2"/>
  <c r="A78" i="2"/>
  <c r="C78" i="2"/>
  <c r="K78" i="2"/>
  <c r="L78" i="2"/>
  <c r="M78" i="2"/>
  <c r="N78" i="2"/>
  <c r="O78" i="2"/>
  <c r="P78" i="2"/>
  <c r="Q78" i="2"/>
  <c r="R78" i="2"/>
  <c r="S78" i="2"/>
  <c r="T78" i="2"/>
  <c r="A79" i="2"/>
  <c r="C79" i="2"/>
  <c r="K79" i="2"/>
  <c r="L79" i="2"/>
  <c r="M79" i="2"/>
  <c r="N79" i="2"/>
  <c r="O79" i="2"/>
  <c r="P79" i="2"/>
  <c r="Q79" i="2"/>
  <c r="R79" i="2"/>
  <c r="S79" i="2"/>
  <c r="T79" i="2"/>
  <c r="A80" i="2"/>
  <c r="C80" i="2"/>
  <c r="K80" i="2"/>
  <c r="L80" i="2"/>
  <c r="M80" i="2"/>
  <c r="N80" i="2"/>
  <c r="O80" i="2"/>
  <c r="P80" i="2"/>
  <c r="Q80" i="2"/>
  <c r="R80" i="2"/>
  <c r="S80" i="2"/>
  <c r="T80" i="2"/>
  <c r="A81" i="2"/>
  <c r="C81" i="2"/>
  <c r="K81" i="2"/>
  <c r="L81" i="2"/>
  <c r="M81" i="2"/>
  <c r="N81" i="2"/>
  <c r="O81" i="2"/>
  <c r="P81" i="2"/>
  <c r="Q81" i="2"/>
  <c r="R81" i="2"/>
  <c r="S81" i="2"/>
  <c r="T81" i="2"/>
  <c r="A82" i="2"/>
  <c r="C82" i="2"/>
  <c r="K82" i="2"/>
  <c r="L82" i="2"/>
  <c r="M82" i="2"/>
  <c r="N82" i="2"/>
  <c r="O82" i="2"/>
  <c r="P82" i="2"/>
  <c r="Q82" i="2"/>
  <c r="R82" i="2"/>
  <c r="S82" i="2"/>
  <c r="T82" i="2"/>
  <c r="A83" i="2"/>
  <c r="C83" i="2"/>
  <c r="K83" i="2"/>
  <c r="L83" i="2"/>
  <c r="M83" i="2"/>
  <c r="N83" i="2"/>
  <c r="O83" i="2"/>
  <c r="P83" i="2"/>
  <c r="Q83" i="2"/>
  <c r="R83" i="2"/>
  <c r="S83" i="2"/>
  <c r="T83" i="2"/>
  <c r="A84" i="2"/>
  <c r="C84" i="2"/>
  <c r="K84" i="2"/>
  <c r="L84" i="2"/>
  <c r="M84" i="2"/>
  <c r="N84" i="2"/>
  <c r="O84" i="2"/>
  <c r="P84" i="2"/>
  <c r="Q84" i="2"/>
  <c r="R84" i="2"/>
  <c r="S84" i="2"/>
  <c r="T84" i="2"/>
  <c r="A85" i="2"/>
  <c r="C85" i="2"/>
  <c r="K85" i="2"/>
  <c r="L85" i="2"/>
  <c r="M85" i="2"/>
  <c r="N85" i="2"/>
  <c r="O85" i="2"/>
  <c r="P85" i="2"/>
  <c r="Q85" i="2"/>
  <c r="R85" i="2"/>
  <c r="S85" i="2"/>
  <c r="T85" i="2"/>
  <c r="A86" i="2"/>
  <c r="C86" i="2"/>
  <c r="K86" i="2"/>
  <c r="L86" i="2"/>
  <c r="M86" i="2"/>
  <c r="N86" i="2"/>
  <c r="O86" i="2"/>
  <c r="P86" i="2"/>
  <c r="Q86" i="2"/>
  <c r="R86" i="2"/>
  <c r="S86" i="2"/>
  <c r="T86" i="2"/>
  <c r="A87" i="2"/>
  <c r="C87" i="2"/>
  <c r="K87" i="2"/>
  <c r="L87" i="2"/>
  <c r="M87" i="2"/>
  <c r="N87" i="2"/>
  <c r="O87" i="2"/>
  <c r="P87" i="2"/>
  <c r="Q87" i="2"/>
  <c r="R87" i="2"/>
  <c r="S87" i="2"/>
  <c r="T87" i="2"/>
  <c r="A88" i="2"/>
  <c r="C88" i="2"/>
  <c r="K88" i="2"/>
  <c r="L88" i="2"/>
  <c r="M88" i="2"/>
  <c r="N88" i="2"/>
  <c r="O88" i="2"/>
  <c r="P88" i="2"/>
  <c r="Q88" i="2"/>
  <c r="R88" i="2"/>
  <c r="S88" i="2"/>
  <c r="T88" i="2"/>
  <c r="A89" i="2"/>
  <c r="C89" i="2"/>
  <c r="K89" i="2"/>
  <c r="L89" i="2"/>
  <c r="M89" i="2"/>
  <c r="N89" i="2"/>
  <c r="O89" i="2"/>
  <c r="P89" i="2"/>
  <c r="Q89" i="2"/>
  <c r="R89" i="2"/>
  <c r="S89" i="2"/>
  <c r="T89" i="2"/>
  <c r="A90" i="2"/>
  <c r="C90" i="2"/>
  <c r="K90" i="2"/>
  <c r="L90" i="2"/>
  <c r="M90" i="2"/>
  <c r="N90" i="2"/>
  <c r="O90" i="2"/>
  <c r="P90" i="2"/>
  <c r="Q90" i="2"/>
  <c r="R90" i="2"/>
  <c r="S90" i="2"/>
  <c r="T90" i="2"/>
  <c r="A91" i="2"/>
  <c r="C91" i="2"/>
  <c r="K91" i="2"/>
  <c r="L91" i="2"/>
  <c r="M91" i="2"/>
  <c r="N91" i="2"/>
  <c r="O91" i="2"/>
  <c r="P91" i="2"/>
  <c r="Q91" i="2"/>
  <c r="R91" i="2"/>
  <c r="S91" i="2"/>
  <c r="T91" i="2"/>
  <c r="A92" i="2"/>
  <c r="C92" i="2"/>
  <c r="K92" i="2"/>
  <c r="L92" i="2"/>
  <c r="M92" i="2"/>
  <c r="N92" i="2"/>
  <c r="O92" i="2"/>
  <c r="P92" i="2"/>
  <c r="Q92" i="2"/>
  <c r="R92" i="2"/>
  <c r="S92" i="2"/>
  <c r="T92" i="2"/>
  <c r="A93" i="2"/>
  <c r="C93" i="2"/>
  <c r="K93" i="2"/>
  <c r="L93" i="2"/>
  <c r="M93" i="2"/>
  <c r="N93" i="2"/>
  <c r="O93" i="2"/>
  <c r="P93" i="2"/>
  <c r="Q93" i="2"/>
  <c r="R93" i="2"/>
  <c r="S93" i="2"/>
  <c r="T93" i="2"/>
  <c r="A94" i="2"/>
  <c r="C94" i="2"/>
  <c r="K94" i="2"/>
  <c r="L94" i="2"/>
  <c r="M94" i="2"/>
  <c r="N94" i="2"/>
  <c r="O94" i="2"/>
  <c r="P94" i="2"/>
  <c r="Q94" i="2"/>
  <c r="R94" i="2"/>
  <c r="S94" i="2"/>
  <c r="T94" i="2"/>
  <c r="A95" i="2"/>
  <c r="C95" i="2"/>
  <c r="K95" i="2"/>
  <c r="L95" i="2"/>
  <c r="M95" i="2"/>
  <c r="N95" i="2"/>
  <c r="O95" i="2"/>
  <c r="P95" i="2"/>
  <c r="Q95" i="2"/>
  <c r="R95" i="2"/>
  <c r="S95" i="2"/>
  <c r="T95" i="2"/>
  <c r="A96" i="2"/>
  <c r="C96" i="2"/>
  <c r="K96" i="2"/>
  <c r="L96" i="2"/>
  <c r="M96" i="2"/>
  <c r="N96" i="2"/>
  <c r="O96" i="2"/>
  <c r="P96" i="2"/>
  <c r="Q96" i="2"/>
  <c r="R96" i="2"/>
  <c r="S96" i="2"/>
  <c r="T96" i="2"/>
  <c r="A97" i="2"/>
  <c r="C97" i="2"/>
  <c r="K97" i="2"/>
  <c r="L97" i="2"/>
  <c r="M97" i="2"/>
  <c r="N97" i="2"/>
  <c r="O97" i="2"/>
  <c r="P97" i="2"/>
  <c r="Q97" i="2"/>
  <c r="R97" i="2"/>
  <c r="S97" i="2"/>
  <c r="T97" i="2"/>
  <c r="A98" i="2"/>
  <c r="C98" i="2"/>
  <c r="K98" i="2"/>
  <c r="L98" i="2"/>
  <c r="M98" i="2"/>
  <c r="N98" i="2"/>
  <c r="O98" i="2"/>
  <c r="P98" i="2"/>
  <c r="Q98" i="2"/>
  <c r="R98" i="2"/>
  <c r="S98" i="2"/>
  <c r="T98" i="2"/>
  <c r="A99" i="2"/>
  <c r="C99" i="2"/>
  <c r="K99" i="2"/>
  <c r="L99" i="2"/>
  <c r="M99" i="2"/>
  <c r="N99" i="2"/>
  <c r="O99" i="2"/>
  <c r="P99" i="2"/>
  <c r="Q99" i="2"/>
  <c r="R99" i="2"/>
  <c r="S99" i="2"/>
  <c r="T99" i="2"/>
  <c r="A100" i="2"/>
  <c r="C100" i="2"/>
  <c r="K100" i="2"/>
  <c r="L100" i="2"/>
  <c r="M100" i="2"/>
  <c r="N100" i="2"/>
  <c r="O100" i="2"/>
  <c r="P100" i="2"/>
  <c r="Q100" i="2"/>
  <c r="R100" i="2"/>
  <c r="S100" i="2"/>
  <c r="T100" i="2"/>
  <c r="A101" i="2"/>
  <c r="C101" i="2"/>
  <c r="K101" i="2"/>
  <c r="L101" i="2"/>
  <c r="M101" i="2"/>
  <c r="N101" i="2"/>
  <c r="O101" i="2"/>
  <c r="P101" i="2"/>
  <c r="Q101" i="2"/>
  <c r="R101" i="2"/>
  <c r="S101" i="2"/>
  <c r="T101" i="2"/>
  <c r="A102" i="2"/>
  <c r="C102" i="2"/>
  <c r="K102" i="2"/>
  <c r="L102" i="2"/>
  <c r="M102" i="2"/>
  <c r="N102" i="2"/>
  <c r="O102" i="2"/>
  <c r="P102" i="2"/>
  <c r="Q102" i="2"/>
  <c r="R102" i="2"/>
  <c r="S102" i="2"/>
  <c r="T102" i="2"/>
  <c r="A103" i="2"/>
  <c r="C103" i="2"/>
  <c r="K103" i="2"/>
  <c r="L103" i="2"/>
  <c r="M103" i="2"/>
  <c r="N103" i="2"/>
  <c r="O103" i="2"/>
  <c r="P103" i="2"/>
  <c r="Q103" i="2"/>
  <c r="R103" i="2"/>
  <c r="S103" i="2"/>
  <c r="T103" i="2"/>
  <c r="A104" i="2"/>
  <c r="C104" i="2"/>
  <c r="K104" i="2"/>
  <c r="L104" i="2"/>
  <c r="M104" i="2"/>
  <c r="N104" i="2"/>
  <c r="O104" i="2"/>
  <c r="P104" i="2"/>
  <c r="Q104" i="2"/>
  <c r="R104" i="2"/>
  <c r="S104" i="2"/>
  <c r="T104" i="2"/>
  <c r="A105" i="2"/>
  <c r="C105" i="2"/>
  <c r="K105" i="2"/>
  <c r="L105" i="2"/>
  <c r="M105" i="2"/>
  <c r="N105" i="2"/>
  <c r="O105" i="2"/>
  <c r="P105" i="2"/>
  <c r="Q105" i="2"/>
  <c r="R105" i="2"/>
  <c r="S105" i="2"/>
  <c r="T105" i="2"/>
  <c r="A7" i="2" l="1"/>
</calcChain>
</file>

<file path=xl/sharedStrings.xml><?xml version="1.0" encoding="utf-8"?>
<sst xmlns="http://schemas.openxmlformats.org/spreadsheetml/2006/main" count="202" uniqueCount="72">
  <si>
    <t>N</t>
  </si>
  <si>
    <t>Boys 6 &amp; Under</t>
  </si>
  <si>
    <t>Girls 6 &amp; Under</t>
  </si>
  <si>
    <t>Breast Event</t>
  </si>
  <si>
    <t>Breast#</t>
  </si>
  <si>
    <t>Fly Event</t>
  </si>
  <si>
    <t>Fly#</t>
  </si>
  <si>
    <t>Back Event</t>
  </si>
  <si>
    <t>Back#</t>
  </si>
  <si>
    <t>Free Event</t>
  </si>
  <si>
    <t>Free#</t>
  </si>
  <si>
    <t>IM Event</t>
  </si>
  <si>
    <t>IM#</t>
  </si>
  <si>
    <t>Breast?</t>
  </si>
  <si>
    <t>Fly?</t>
  </si>
  <si>
    <t>Back?</t>
  </si>
  <si>
    <t>Free?</t>
  </si>
  <si>
    <t>IM?</t>
  </si>
  <si>
    <t>Competitive</t>
  </si>
  <si>
    <t>Category</t>
  </si>
  <si>
    <t>Club</t>
  </si>
  <si>
    <t>Swimmer Name</t>
  </si>
  <si>
    <t>Swimmer Number</t>
  </si>
  <si>
    <t>First swimmer number:</t>
  </si>
  <si>
    <t>Moose Creek</t>
  </si>
  <si>
    <t>My club:</t>
  </si>
  <si>
    <t>Winchester</t>
  </si>
  <si>
    <t>UCSC</t>
  </si>
  <si>
    <t>St. Andrews</t>
  </si>
  <si>
    <t>Russell</t>
  </si>
  <si>
    <t>Prescott</t>
  </si>
  <si>
    <t>Manotick</t>
  </si>
  <si>
    <t>Kemptville</t>
  </si>
  <si>
    <t>Johnstown</t>
  </si>
  <si>
    <t>Iroquois</t>
  </si>
  <si>
    <t>Chesterville</t>
  </si>
  <si>
    <t>Cardinal</t>
  </si>
  <si>
    <t>Boys Open</t>
  </si>
  <si>
    <t>Girls Open</t>
  </si>
  <si>
    <t>Boys 15 &amp; Over</t>
  </si>
  <si>
    <t>Girls 15 &amp; Over</t>
  </si>
  <si>
    <t>Boys 13 &amp; 14</t>
  </si>
  <si>
    <t>Girls 13 &amp; 14</t>
  </si>
  <si>
    <t>Boys 11 &amp; 12</t>
  </si>
  <si>
    <t>Girls 11 &amp; 12</t>
  </si>
  <si>
    <t>Boys 9 &amp; 10</t>
  </si>
  <si>
    <t>Girls 9 &amp; 10</t>
  </si>
  <si>
    <t>Boys 7 &amp; 8</t>
  </si>
  <si>
    <t>Girls 7 &amp; 8</t>
  </si>
  <si>
    <t>C</t>
  </si>
  <si>
    <t>100m Breast</t>
  </si>
  <si>
    <t>50m Breast</t>
  </si>
  <si>
    <t>25m Breast</t>
  </si>
  <si>
    <t>100m Fly</t>
  </si>
  <si>
    <t>50m Fly</t>
  </si>
  <si>
    <t>25m Fly</t>
  </si>
  <si>
    <t>100m Back</t>
  </si>
  <si>
    <t>50m Back</t>
  </si>
  <si>
    <t>25m Back</t>
  </si>
  <si>
    <t>100m Free</t>
  </si>
  <si>
    <t>50m Free</t>
  </si>
  <si>
    <t>25m Free</t>
  </si>
  <si>
    <t>200m IM</t>
  </si>
  <si>
    <t>100m IM</t>
  </si>
  <si>
    <t>BB</t>
  </si>
  <si>
    <t>Boys 8 &amp; Under</t>
  </si>
  <si>
    <t>AA</t>
  </si>
  <si>
    <t>Girls 8 &amp; Under</t>
  </si>
  <si>
    <t>YET TO BE SET</t>
  </si>
  <si>
    <t>Jane Doe</t>
  </si>
  <si>
    <t>x</t>
  </si>
  <si>
    <t>John Smith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</si>
</sst>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Arial"/>
      <family val="2"/>
    </font>
    <font>
      <b/>
      <sz val="10"/>
      <name val="Arial"/>
      <family val="2"/>
    </font>
    <font>
      <sz val="10"/>
      <color rgb="FF000000"/>
      <name val="Arial"/>
      <family val="2"/>
    </font>
    <font>
      <sz val="11"/>
      <color rgb="FF000000"/>
      <name val="Calibri"/>
      <family val="2"/>
      <scheme val="minor"/>
    </font>
  </fonts>
  <fills count="4">
    <fill>
      <patternFill patternType="none"/>
    </fill>
    <fill>
      <patternFill patternType="gray125"/>
    </fill>
    <fill>
      <patternFill patternType="solid">
        <fgColor theme="2" tint="-9.9948118533890809E-2"/>
        <bgColor indexed="64"/>
      </patternFill>
    </fill>
    <fill>
      <patternFill patternType="solid">
        <fgColor theme="2"/>
        <bgColor indexed="64"/>
      </patternFill>
    </fill>
  </fills>
  <borders count="2">
    <border>
      <left/>
      <right/>
      <top/>
      <bottom/>
      <diagonal/>
    </border>
    <border>
      <left/>
      <right style="medium">
        <color indexed="64"/>
      </right>
      <top/>
      <bottom style="medium">
        <color indexed="64"/>
      </bottom>
      <diagonal/>
    </border>
  </borders>
  <cellStyleXfs count="2">
    <xf numFmtId="0" fontId="0" fillId="0" borderId="0"/>
    <xf numFmtId="0" fontId="1" fillId="0" borderId="0"/>
  </cellStyleXfs>
  <cellXfs count="17">
    <xf numFmtId="0" fontId="0" fillId="0" borderId="0" xfId="0"/>
    <xf numFmtId="0" fontId="1" fillId="0" borderId="0" xfId="1"/>
    <xf numFmtId="0" fontId="1" fillId="0" borderId="0" xfId="1" applyAlignment="1">
      <alignment horizontal="center"/>
    </xf>
    <xf numFmtId="0" fontId="1" fillId="0" borderId="0" xfId="1" applyFill="1"/>
    <xf numFmtId="0" fontId="1" fillId="2" borderId="0" xfId="1" applyFill="1"/>
    <xf numFmtId="0" fontId="2" fillId="2" borderId="0" xfId="1" applyFont="1" applyFill="1"/>
    <xf numFmtId="0" fontId="1" fillId="2" borderId="0" xfId="1" applyFill="1" applyAlignment="1">
      <alignment horizontal="right"/>
    </xf>
    <xf numFmtId="0" fontId="1" fillId="2" borderId="0" xfId="1" applyFill="1" applyAlignment="1">
      <alignment horizontal="left"/>
    </xf>
    <xf numFmtId="0" fontId="1" fillId="3" borderId="0" xfId="1" applyFill="1"/>
    <xf numFmtId="0" fontId="1" fillId="3" borderId="0" xfId="1" applyFill="1" applyAlignment="1">
      <alignment horizontal="right"/>
    </xf>
    <xf numFmtId="0" fontId="1" fillId="2" borderId="0" xfId="1" applyFill="1" applyAlignment="1">
      <alignment horizontal="center"/>
    </xf>
    <xf numFmtId="0" fontId="3" fillId="2" borderId="0" xfId="1" applyFont="1" applyFill="1" applyAlignment="1">
      <alignment horizontal="center"/>
    </xf>
    <xf numFmtId="0" fontId="1" fillId="0" borderId="0" xfId="1" applyFill="1" applyAlignment="1">
      <alignment horizontal="center"/>
    </xf>
    <xf numFmtId="0" fontId="2" fillId="0" borderId="0" xfId="1" applyFont="1" applyFill="1" applyAlignment="1">
      <alignment horizontal="center"/>
    </xf>
    <xf numFmtId="0" fontId="1" fillId="0" borderId="0" xfId="1" applyFont="1" applyFill="1"/>
    <xf numFmtId="0" fontId="5" fillId="0" borderId="1" xfId="0" applyFont="1" applyBorder="1" applyAlignment="1">
      <alignment vertical="center" wrapText="1"/>
    </xf>
    <xf numFmtId="0" fontId="1" fillId="0" borderId="0" xfId="1" applyFont="1" applyFill="1" applyAlignment="1">
      <alignment horizontal="center"/>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171450</xdr:colOff>
          <xdr:row>0</xdr:row>
          <xdr:rowOff>114300</xdr:rowOff>
        </xdr:from>
        <xdr:to>
          <xdr:col>4</xdr:col>
          <xdr:colOff>866775</xdr:colOff>
          <xdr:row>3</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Participants to File for Meet Organizers and Generate Event Slips For Coach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06"/>
  <sheetViews>
    <sheetView workbookViewId="0">
      <selection activeCell="B6" sqref="B6"/>
    </sheetView>
  </sheetViews>
  <sheetFormatPr defaultColWidth="9.140625" defaultRowHeight="12.75" x14ac:dyDescent="0.2"/>
  <cols>
    <col min="1" max="1" width="19.42578125" style="1" customWidth="1"/>
    <col min="2" max="3" width="24.5703125" style="1" customWidth="1"/>
    <col min="4" max="4" width="19.28515625" style="1" customWidth="1"/>
    <col min="5" max="5" width="13.85546875" style="1" customWidth="1"/>
    <col min="6" max="20" width="10.7109375" style="2" customWidth="1"/>
    <col min="21" max="16384" width="9.140625" style="1"/>
  </cols>
  <sheetData>
    <row r="1" spans="1:20" x14ac:dyDescent="0.2">
      <c r="A1" s="4"/>
      <c r="B1" s="4"/>
      <c r="C1" s="4"/>
      <c r="D1" s="4"/>
      <c r="E1" s="4"/>
      <c r="F1" s="10"/>
      <c r="G1" s="10"/>
      <c r="H1" s="10"/>
      <c r="I1" s="10"/>
      <c r="J1" s="10"/>
      <c r="K1" s="10"/>
      <c r="L1" s="10"/>
      <c r="M1" s="10"/>
      <c r="N1" s="10"/>
      <c r="O1" s="10"/>
      <c r="P1" s="10"/>
      <c r="Q1" s="10"/>
      <c r="R1" s="10"/>
      <c r="S1" s="10"/>
      <c r="T1" s="10"/>
    </row>
    <row r="2" spans="1:20" x14ac:dyDescent="0.2">
      <c r="A2" s="4"/>
      <c r="B2" s="4"/>
      <c r="C2" s="7"/>
      <c r="D2" s="4"/>
      <c r="E2" s="7"/>
      <c r="F2" s="10"/>
      <c r="G2" s="10"/>
      <c r="H2" s="10"/>
      <c r="I2" s="10"/>
      <c r="J2" s="10"/>
      <c r="K2" s="10"/>
      <c r="L2" s="10"/>
      <c r="M2" s="10"/>
      <c r="N2" s="10"/>
      <c r="O2" s="10"/>
      <c r="P2" s="10"/>
      <c r="Q2" s="10"/>
      <c r="R2" s="10"/>
      <c r="S2" s="10"/>
      <c r="T2" s="10"/>
    </row>
    <row r="3" spans="1:20" x14ac:dyDescent="0.2">
      <c r="A3" s="4"/>
      <c r="B3" s="4"/>
      <c r="C3" s="4"/>
      <c r="D3" s="4"/>
      <c r="E3" s="4"/>
      <c r="F3" s="10"/>
      <c r="G3" s="10"/>
      <c r="H3" s="10"/>
      <c r="I3" s="10"/>
      <c r="J3" s="10"/>
      <c r="K3" s="10"/>
      <c r="L3" s="10"/>
      <c r="M3" s="10"/>
      <c r="N3" s="10"/>
      <c r="O3" s="10"/>
      <c r="P3" s="10"/>
      <c r="Q3" s="10"/>
      <c r="R3" s="10"/>
      <c r="S3" s="10"/>
      <c r="T3" s="10"/>
    </row>
    <row r="4" spans="1:20" x14ac:dyDescent="0.2">
      <c r="A4" s="4"/>
      <c r="B4" s="4"/>
      <c r="C4" s="4"/>
      <c r="D4" s="4"/>
      <c r="E4" s="4"/>
      <c r="F4" s="10"/>
      <c r="G4" s="10"/>
      <c r="H4" s="10"/>
      <c r="I4" s="10"/>
      <c r="J4" s="10"/>
      <c r="K4" s="10"/>
      <c r="L4" s="10"/>
      <c r="M4" s="10"/>
      <c r="N4" s="10"/>
      <c r="O4" s="10"/>
      <c r="P4" s="10"/>
      <c r="Q4" s="10"/>
      <c r="R4" s="10"/>
      <c r="S4" s="10"/>
      <c r="T4" s="10"/>
    </row>
    <row r="5" spans="1:20" x14ac:dyDescent="0.2">
      <c r="A5" s="11" t="s">
        <v>22</v>
      </c>
      <c r="B5" s="11" t="s">
        <v>21</v>
      </c>
      <c r="C5" s="11" t="s">
        <v>20</v>
      </c>
      <c r="D5" s="11" t="s">
        <v>19</v>
      </c>
      <c r="E5" s="11" t="s">
        <v>18</v>
      </c>
      <c r="F5" s="11" t="s">
        <v>17</v>
      </c>
      <c r="G5" s="11" t="s">
        <v>16</v>
      </c>
      <c r="H5" s="11" t="s">
        <v>15</v>
      </c>
      <c r="I5" s="11" t="s">
        <v>14</v>
      </c>
      <c r="J5" s="11" t="s">
        <v>13</v>
      </c>
      <c r="K5" s="11" t="s">
        <v>12</v>
      </c>
      <c r="L5" s="11" t="s">
        <v>11</v>
      </c>
      <c r="M5" s="11" t="s">
        <v>10</v>
      </c>
      <c r="N5" s="11" t="s">
        <v>9</v>
      </c>
      <c r="O5" s="11" t="s">
        <v>8</v>
      </c>
      <c r="P5" s="11" t="s">
        <v>7</v>
      </c>
      <c r="Q5" s="11" t="s">
        <v>6</v>
      </c>
      <c r="R5" s="11" t="s">
        <v>5</v>
      </c>
      <c r="S5" s="11" t="s">
        <v>4</v>
      </c>
      <c r="T5" s="11" t="s">
        <v>3</v>
      </c>
    </row>
    <row r="6" spans="1:20" x14ac:dyDescent="0.2">
      <c r="A6" s="10">
        <f t="shared" ref="A6:A37" si="0">IF(ISTEXT(B6),startNum + ROW() - 6,"")</f>
        <v>801</v>
      </c>
      <c r="B6" s="14" t="s">
        <v>69</v>
      </c>
      <c r="C6" s="4" t="str">
        <f t="shared" ref="C6:C37" si="1">IF(ISTEXT(B6),club,"")</f>
        <v>YET TO BE SET</v>
      </c>
      <c r="D6" s="3" t="s">
        <v>2</v>
      </c>
      <c r="E6" s="12" t="s">
        <v>0</v>
      </c>
      <c r="F6" s="16" t="s">
        <v>70</v>
      </c>
      <c r="G6" s="16" t="s">
        <v>70</v>
      </c>
      <c r="H6" s="13"/>
      <c r="I6" s="12"/>
      <c r="J6" s="12" t="s">
        <v>70</v>
      </c>
      <c r="K6" s="10" t="str">
        <f t="shared" ref="K6:K37" si="2">IF(ISBLANK(D6),"",IF(ISBLANK(F6),"",IF(D6="Girls 6 &amp; Under",G8ANDU,IF(D6="Girls 7 &amp; 8", G8ANDU, IF(D6="Boys 6 &amp; Under",B8ANDU,IF(D6="Boys 7 &amp; 8",B8ANDU,VLOOKUP(D6,IMEvents,2,FALSE)))))))</f>
        <v>AA</v>
      </c>
      <c r="L6" s="10" t="str">
        <f t="shared" ref="L6:L37" si="3">IF(ISBLANK(F6),"",VLOOKUP(K6,IMNos,2,FALSE))</f>
        <v>100m IM</v>
      </c>
      <c r="M6" s="10">
        <f t="shared" ref="M6:M37" si="4">IF(ISBLANK(D6),"",IF(ISBLANK(G6),"",VLOOKUP(D6,FreeEvents,2,FALSE)))</f>
        <v>11</v>
      </c>
      <c r="N6" s="10" t="str">
        <f t="shared" ref="N6:N37" si="5">IF(ISBLANK(G6),"",VLOOKUP(M6,FreeNos,2,FALSE))</f>
        <v>25m Free</v>
      </c>
      <c r="O6" s="10" t="str">
        <f t="shared" ref="O6:O37" si="6">IF(ISBLANK(D6),"",IF(ISBLANK(H6),"",VLOOKUP(D6,BackEvents,2,FALSE)))</f>
        <v/>
      </c>
      <c r="P6" s="10" t="str">
        <f t="shared" ref="P6:P37" si="7">IF(ISBLANK(H6),"",VLOOKUP(O6,BackNos,2,FALSE))</f>
        <v/>
      </c>
      <c r="Q6" s="10" t="str">
        <f t="shared" ref="Q6:Q37" si="8">IF(ISBLANK(D6),"",IF(ISBLANK(I6),"",VLOOKUP(D6,FlyEvents,2,FALSE)))</f>
        <v/>
      </c>
      <c r="R6" s="10" t="str">
        <f t="shared" ref="R6:R37" si="9">IF(ISBLANK(I6),"",VLOOKUP(Q6,FlyNos,2,FALSE))</f>
        <v/>
      </c>
      <c r="S6" s="10">
        <f t="shared" ref="S6:S37" si="10">IF(ISBLANK(D6),"",IF(ISBLANK(J6),"",VLOOKUP(D6,BreastEvents,2,FALSE)))</f>
        <v>53</v>
      </c>
      <c r="T6" s="10" t="str">
        <f t="shared" ref="T6:T37" si="11">IF(ISBLANK(J6),"",VLOOKUP(S6,BreastNos,2,FALSE))</f>
        <v>25m Breast</v>
      </c>
    </row>
    <row r="7" spans="1:20" x14ac:dyDescent="0.2">
      <c r="A7" s="10">
        <f t="shared" si="0"/>
        <v>802</v>
      </c>
      <c r="B7" s="14" t="s">
        <v>71</v>
      </c>
      <c r="C7" s="4" t="str">
        <f t="shared" si="1"/>
        <v>YET TO BE SET</v>
      </c>
      <c r="D7" s="3" t="s">
        <v>37</v>
      </c>
      <c r="E7" s="12" t="s">
        <v>49</v>
      </c>
      <c r="F7" s="12" t="s">
        <v>70</v>
      </c>
      <c r="G7" s="13"/>
      <c r="H7" s="16" t="s">
        <v>70</v>
      </c>
      <c r="I7" s="13"/>
      <c r="J7" s="16" t="s">
        <v>70</v>
      </c>
      <c r="K7" s="10">
        <f t="shared" si="2"/>
        <v>10</v>
      </c>
      <c r="L7" s="10" t="str">
        <f t="shared" si="3"/>
        <v>200m IM</v>
      </c>
      <c r="M7" s="10" t="str">
        <f t="shared" si="4"/>
        <v/>
      </c>
      <c r="N7" s="10" t="str">
        <f t="shared" si="5"/>
        <v/>
      </c>
      <c r="O7" s="10">
        <f t="shared" si="6"/>
        <v>38</v>
      </c>
      <c r="P7" s="10" t="str">
        <f t="shared" si="7"/>
        <v>100m Back</v>
      </c>
      <c r="Q7" s="10" t="str">
        <f t="shared" si="8"/>
        <v/>
      </c>
      <c r="R7" s="10" t="str">
        <f t="shared" si="9"/>
        <v/>
      </c>
      <c r="S7" s="10">
        <f t="shared" si="10"/>
        <v>66</v>
      </c>
      <c r="T7" s="10" t="str">
        <f t="shared" si="11"/>
        <v>100m Breast</v>
      </c>
    </row>
    <row r="8" spans="1:20" x14ac:dyDescent="0.2">
      <c r="A8" s="10" t="str">
        <f t="shared" si="0"/>
        <v/>
      </c>
      <c r="B8" s="3"/>
      <c r="C8" s="4" t="str">
        <f t="shared" si="1"/>
        <v/>
      </c>
      <c r="D8" s="3"/>
      <c r="E8" s="12"/>
      <c r="F8" s="12"/>
      <c r="G8" s="12"/>
      <c r="H8" s="12"/>
      <c r="I8" s="12"/>
      <c r="J8" s="12"/>
      <c r="K8" s="10" t="str">
        <f t="shared" si="2"/>
        <v/>
      </c>
      <c r="L8" s="10" t="str">
        <f t="shared" si="3"/>
        <v/>
      </c>
      <c r="M8" s="10" t="str">
        <f t="shared" si="4"/>
        <v/>
      </c>
      <c r="N8" s="10" t="str">
        <f t="shared" si="5"/>
        <v/>
      </c>
      <c r="O8" s="10" t="str">
        <f t="shared" si="6"/>
        <v/>
      </c>
      <c r="P8" s="10" t="str">
        <f t="shared" si="7"/>
        <v/>
      </c>
      <c r="Q8" s="10" t="str">
        <f t="shared" si="8"/>
        <v/>
      </c>
      <c r="R8" s="10" t="str">
        <f t="shared" si="9"/>
        <v/>
      </c>
      <c r="S8" s="10" t="str">
        <f t="shared" si="10"/>
        <v/>
      </c>
      <c r="T8" s="10" t="str">
        <f t="shared" si="11"/>
        <v/>
      </c>
    </row>
    <row r="9" spans="1:20" x14ac:dyDescent="0.2">
      <c r="A9" s="10" t="str">
        <f t="shared" si="0"/>
        <v/>
      </c>
      <c r="B9" s="3"/>
      <c r="C9" s="4" t="str">
        <f t="shared" si="1"/>
        <v/>
      </c>
      <c r="D9" s="3"/>
      <c r="E9" s="12"/>
      <c r="F9" s="12"/>
      <c r="G9" s="12"/>
      <c r="H9" s="12"/>
      <c r="I9" s="12"/>
      <c r="J9" s="12"/>
      <c r="K9" s="10" t="str">
        <f t="shared" si="2"/>
        <v/>
      </c>
      <c r="L9" s="10" t="str">
        <f t="shared" si="3"/>
        <v/>
      </c>
      <c r="M9" s="10" t="str">
        <f t="shared" si="4"/>
        <v/>
      </c>
      <c r="N9" s="10" t="str">
        <f t="shared" si="5"/>
        <v/>
      </c>
      <c r="O9" s="10" t="str">
        <f t="shared" si="6"/>
        <v/>
      </c>
      <c r="P9" s="10" t="str">
        <f t="shared" si="7"/>
        <v/>
      </c>
      <c r="Q9" s="10" t="str">
        <f t="shared" si="8"/>
        <v/>
      </c>
      <c r="R9" s="10" t="str">
        <f t="shared" si="9"/>
        <v/>
      </c>
      <c r="S9" s="10" t="str">
        <f t="shared" si="10"/>
        <v/>
      </c>
      <c r="T9" s="10" t="str">
        <f t="shared" si="11"/>
        <v/>
      </c>
    </row>
    <row r="10" spans="1:20" x14ac:dyDescent="0.2">
      <c r="A10" s="10" t="str">
        <f t="shared" si="0"/>
        <v/>
      </c>
      <c r="B10" s="3"/>
      <c r="C10" s="4" t="str">
        <f t="shared" si="1"/>
        <v/>
      </c>
      <c r="D10" s="3"/>
      <c r="E10" s="12"/>
      <c r="F10" s="12"/>
      <c r="G10" s="12"/>
      <c r="H10" s="12"/>
      <c r="I10" s="12"/>
      <c r="J10" s="12"/>
      <c r="K10" s="10" t="str">
        <f t="shared" si="2"/>
        <v/>
      </c>
      <c r="L10" s="10" t="str">
        <f t="shared" si="3"/>
        <v/>
      </c>
      <c r="M10" s="10" t="str">
        <f t="shared" si="4"/>
        <v/>
      </c>
      <c r="N10" s="10" t="str">
        <f t="shared" si="5"/>
        <v/>
      </c>
      <c r="O10" s="10" t="str">
        <f t="shared" si="6"/>
        <v/>
      </c>
      <c r="P10" s="10" t="str">
        <f t="shared" si="7"/>
        <v/>
      </c>
      <c r="Q10" s="10" t="str">
        <f t="shared" si="8"/>
        <v/>
      </c>
      <c r="R10" s="10" t="str">
        <f t="shared" si="9"/>
        <v/>
      </c>
      <c r="S10" s="10" t="str">
        <f t="shared" si="10"/>
        <v/>
      </c>
      <c r="T10" s="10" t="str">
        <f t="shared" si="11"/>
        <v/>
      </c>
    </row>
    <row r="11" spans="1:20" x14ac:dyDescent="0.2">
      <c r="A11" s="10" t="str">
        <f t="shared" si="0"/>
        <v/>
      </c>
      <c r="B11" s="3"/>
      <c r="C11" s="4" t="str">
        <f t="shared" si="1"/>
        <v/>
      </c>
      <c r="D11" s="3"/>
      <c r="E11" s="12"/>
      <c r="F11" s="12"/>
      <c r="G11" s="12"/>
      <c r="H11" s="12"/>
      <c r="I11" s="12"/>
      <c r="J11" s="12"/>
      <c r="K11" s="10" t="str">
        <f t="shared" si="2"/>
        <v/>
      </c>
      <c r="L11" s="10" t="str">
        <f t="shared" si="3"/>
        <v/>
      </c>
      <c r="M11" s="10" t="str">
        <f t="shared" si="4"/>
        <v/>
      </c>
      <c r="N11" s="10" t="str">
        <f t="shared" si="5"/>
        <v/>
      </c>
      <c r="O11" s="10" t="str">
        <f t="shared" si="6"/>
        <v/>
      </c>
      <c r="P11" s="10" t="str">
        <f t="shared" si="7"/>
        <v/>
      </c>
      <c r="Q11" s="10" t="str">
        <f t="shared" si="8"/>
        <v/>
      </c>
      <c r="R11" s="10" t="str">
        <f t="shared" si="9"/>
        <v/>
      </c>
      <c r="S11" s="10" t="str">
        <f t="shared" si="10"/>
        <v/>
      </c>
      <c r="T11" s="10" t="str">
        <f t="shared" si="11"/>
        <v/>
      </c>
    </row>
    <row r="12" spans="1:20" x14ac:dyDescent="0.2">
      <c r="A12" s="10" t="str">
        <f t="shared" si="0"/>
        <v/>
      </c>
      <c r="B12" s="3"/>
      <c r="C12" s="4" t="str">
        <f t="shared" si="1"/>
        <v/>
      </c>
      <c r="D12" s="3"/>
      <c r="E12" s="12"/>
      <c r="F12" s="12"/>
      <c r="G12" s="12"/>
      <c r="H12" s="12"/>
      <c r="I12" s="12"/>
      <c r="J12" s="12"/>
      <c r="K12" s="10" t="str">
        <f t="shared" si="2"/>
        <v/>
      </c>
      <c r="L12" s="10" t="str">
        <f t="shared" si="3"/>
        <v/>
      </c>
      <c r="M12" s="10" t="str">
        <f t="shared" si="4"/>
        <v/>
      </c>
      <c r="N12" s="10" t="str">
        <f t="shared" si="5"/>
        <v/>
      </c>
      <c r="O12" s="10" t="str">
        <f t="shared" si="6"/>
        <v/>
      </c>
      <c r="P12" s="10" t="str">
        <f t="shared" si="7"/>
        <v/>
      </c>
      <c r="Q12" s="10" t="str">
        <f t="shared" si="8"/>
        <v/>
      </c>
      <c r="R12" s="10" t="str">
        <f t="shared" si="9"/>
        <v/>
      </c>
      <c r="S12" s="10" t="str">
        <f t="shared" si="10"/>
        <v/>
      </c>
      <c r="T12" s="10" t="str">
        <f t="shared" si="11"/>
        <v/>
      </c>
    </row>
    <row r="13" spans="1:20" x14ac:dyDescent="0.2">
      <c r="A13" s="10" t="str">
        <f t="shared" si="0"/>
        <v/>
      </c>
      <c r="B13" s="3"/>
      <c r="C13" s="4" t="str">
        <f t="shared" si="1"/>
        <v/>
      </c>
      <c r="D13" s="3"/>
      <c r="E13" s="12"/>
      <c r="F13" s="12"/>
      <c r="G13" s="12"/>
      <c r="H13" s="12"/>
      <c r="I13" s="12"/>
      <c r="J13" s="12"/>
      <c r="K13" s="10" t="str">
        <f t="shared" si="2"/>
        <v/>
      </c>
      <c r="L13" s="10" t="str">
        <f t="shared" si="3"/>
        <v/>
      </c>
      <c r="M13" s="10" t="str">
        <f t="shared" si="4"/>
        <v/>
      </c>
      <c r="N13" s="10" t="str">
        <f t="shared" si="5"/>
        <v/>
      </c>
      <c r="O13" s="10" t="str">
        <f t="shared" si="6"/>
        <v/>
      </c>
      <c r="P13" s="10" t="str">
        <f t="shared" si="7"/>
        <v/>
      </c>
      <c r="Q13" s="10" t="str">
        <f t="shared" si="8"/>
        <v/>
      </c>
      <c r="R13" s="10" t="str">
        <f t="shared" si="9"/>
        <v/>
      </c>
      <c r="S13" s="10" t="str">
        <f t="shared" si="10"/>
        <v/>
      </c>
      <c r="T13" s="10" t="str">
        <f t="shared" si="11"/>
        <v/>
      </c>
    </row>
    <row r="14" spans="1:20" x14ac:dyDescent="0.2">
      <c r="A14" s="10" t="str">
        <f t="shared" si="0"/>
        <v/>
      </c>
      <c r="B14" s="3"/>
      <c r="C14" s="4" t="str">
        <f t="shared" si="1"/>
        <v/>
      </c>
      <c r="D14" s="3"/>
      <c r="E14" s="12"/>
      <c r="F14" s="12"/>
      <c r="G14" s="12"/>
      <c r="H14" s="12"/>
      <c r="I14" s="12"/>
      <c r="J14" s="12"/>
      <c r="K14" s="10" t="str">
        <f t="shared" si="2"/>
        <v/>
      </c>
      <c r="L14" s="10" t="str">
        <f t="shared" si="3"/>
        <v/>
      </c>
      <c r="M14" s="10" t="str">
        <f t="shared" si="4"/>
        <v/>
      </c>
      <c r="N14" s="10" t="str">
        <f t="shared" si="5"/>
        <v/>
      </c>
      <c r="O14" s="10" t="str">
        <f t="shared" si="6"/>
        <v/>
      </c>
      <c r="P14" s="10" t="str">
        <f t="shared" si="7"/>
        <v/>
      </c>
      <c r="Q14" s="10" t="str">
        <f t="shared" si="8"/>
        <v/>
      </c>
      <c r="R14" s="10" t="str">
        <f t="shared" si="9"/>
        <v/>
      </c>
      <c r="S14" s="10" t="str">
        <f t="shared" si="10"/>
        <v/>
      </c>
      <c r="T14" s="10" t="str">
        <f t="shared" si="11"/>
        <v/>
      </c>
    </row>
    <row r="15" spans="1:20" x14ac:dyDescent="0.2">
      <c r="A15" s="10" t="str">
        <f t="shared" si="0"/>
        <v/>
      </c>
      <c r="B15" s="3"/>
      <c r="C15" s="4" t="str">
        <f t="shared" si="1"/>
        <v/>
      </c>
      <c r="D15" s="3"/>
      <c r="E15" s="12"/>
      <c r="F15" s="12"/>
      <c r="G15" s="12"/>
      <c r="H15" s="12"/>
      <c r="I15" s="12"/>
      <c r="J15" s="12"/>
      <c r="K15" s="10" t="str">
        <f t="shared" si="2"/>
        <v/>
      </c>
      <c r="L15" s="10" t="str">
        <f t="shared" si="3"/>
        <v/>
      </c>
      <c r="M15" s="10" t="str">
        <f t="shared" si="4"/>
        <v/>
      </c>
      <c r="N15" s="10" t="str">
        <f t="shared" si="5"/>
        <v/>
      </c>
      <c r="O15" s="10" t="str">
        <f t="shared" si="6"/>
        <v/>
      </c>
      <c r="P15" s="10" t="str">
        <f t="shared" si="7"/>
        <v/>
      </c>
      <c r="Q15" s="10" t="str">
        <f t="shared" si="8"/>
        <v/>
      </c>
      <c r="R15" s="10" t="str">
        <f t="shared" si="9"/>
        <v/>
      </c>
      <c r="S15" s="10" t="str">
        <f t="shared" si="10"/>
        <v/>
      </c>
      <c r="T15" s="10" t="str">
        <f t="shared" si="11"/>
        <v/>
      </c>
    </row>
    <row r="16" spans="1:20" x14ac:dyDescent="0.2">
      <c r="A16" s="10" t="str">
        <f t="shared" si="0"/>
        <v/>
      </c>
      <c r="B16" s="3"/>
      <c r="C16" s="4" t="str">
        <f t="shared" si="1"/>
        <v/>
      </c>
      <c r="D16" s="3"/>
      <c r="E16" s="12"/>
      <c r="F16" s="12"/>
      <c r="G16" s="12"/>
      <c r="H16" s="12"/>
      <c r="I16" s="12"/>
      <c r="J16" s="12"/>
      <c r="K16" s="10" t="str">
        <f t="shared" si="2"/>
        <v/>
      </c>
      <c r="L16" s="10" t="str">
        <f t="shared" si="3"/>
        <v/>
      </c>
      <c r="M16" s="10" t="str">
        <f t="shared" si="4"/>
        <v/>
      </c>
      <c r="N16" s="10" t="str">
        <f t="shared" si="5"/>
        <v/>
      </c>
      <c r="O16" s="10" t="str">
        <f t="shared" si="6"/>
        <v/>
      </c>
      <c r="P16" s="10" t="str">
        <f t="shared" si="7"/>
        <v/>
      </c>
      <c r="Q16" s="10" t="str">
        <f t="shared" si="8"/>
        <v/>
      </c>
      <c r="R16" s="10" t="str">
        <f t="shared" si="9"/>
        <v/>
      </c>
      <c r="S16" s="10" t="str">
        <f t="shared" si="10"/>
        <v/>
      </c>
      <c r="T16" s="10" t="str">
        <f t="shared" si="11"/>
        <v/>
      </c>
    </row>
    <row r="17" spans="1:20" x14ac:dyDescent="0.2">
      <c r="A17" s="10" t="str">
        <f t="shared" si="0"/>
        <v/>
      </c>
      <c r="B17" s="3"/>
      <c r="C17" s="4" t="str">
        <f t="shared" si="1"/>
        <v/>
      </c>
      <c r="D17" s="3"/>
      <c r="E17" s="12"/>
      <c r="F17" s="12"/>
      <c r="G17" s="12"/>
      <c r="H17" s="12"/>
      <c r="I17" s="12"/>
      <c r="J17" s="12"/>
      <c r="K17" s="10" t="str">
        <f t="shared" si="2"/>
        <v/>
      </c>
      <c r="L17" s="10" t="str">
        <f t="shared" si="3"/>
        <v/>
      </c>
      <c r="M17" s="10" t="str">
        <f t="shared" si="4"/>
        <v/>
      </c>
      <c r="N17" s="10" t="str">
        <f t="shared" si="5"/>
        <v/>
      </c>
      <c r="O17" s="10" t="str">
        <f t="shared" si="6"/>
        <v/>
      </c>
      <c r="P17" s="10" t="str">
        <f t="shared" si="7"/>
        <v/>
      </c>
      <c r="Q17" s="10" t="str">
        <f t="shared" si="8"/>
        <v/>
      </c>
      <c r="R17" s="10" t="str">
        <f t="shared" si="9"/>
        <v/>
      </c>
      <c r="S17" s="10" t="str">
        <f t="shared" si="10"/>
        <v/>
      </c>
      <c r="T17" s="10" t="str">
        <f t="shared" si="11"/>
        <v/>
      </c>
    </row>
    <row r="18" spans="1:20" x14ac:dyDescent="0.2">
      <c r="A18" s="10" t="str">
        <f t="shared" si="0"/>
        <v/>
      </c>
      <c r="B18" s="3"/>
      <c r="C18" s="4" t="str">
        <f t="shared" si="1"/>
        <v/>
      </c>
      <c r="D18" s="3"/>
      <c r="E18" s="12"/>
      <c r="F18" s="12"/>
      <c r="G18" s="12"/>
      <c r="H18" s="12"/>
      <c r="I18" s="12"/>
      <c r="J18" s="12"/>
      <c r="K18" s="10" t="str">
        <f t="shared" si="2"/>
        <v/>
      </c>
      <c r="L18" s="10" t="str">
        <f t="shared" si="3"/>
        <v/>
      </c>
      <c r="M18" s="10" t="str">
        <f t="shared" si="4"/>
        <v/>
      </c>
      <c r="N18" s="10" t="str">
        <f t="shared" si="5"/>
        <v/>
      </c>
      <c r="O18" s="10" t="str">
        <f t="shared" si="6"/>
        <v/>
      </c>
      <c r="P18" s="10" t="str">
        <f t="shared" si="7"/>
        <v/>
      </c>
      <c r="Q18" s="10" t="str">
        <f t="shared" si="8"/>
        <v/>
      </c>
      <c r="R18" s="10" t="str">
        <f t="shared" si="9"/>
        <v/>
      </c>
      <c r="S18" s="10" t="str">
        <f t="shared" si="10"/>
        <v/>
      </c>
      <c r="T18" s="10" t="str">
        <f t="shared" si="11"/>
        <v/>
      </c>
    </row>
    <row r="19" spans="1:20" x14ac:dyDescent="0.2">
      <c r="A19" s="10" t="str">
        <f t="shared" si="0"/>
        <v/>
      </c>
      <c r="B19" s="3"/>
      <c r="C19" s="4" t="str">
        <f t="shared" si="1"/>
        <v/>
      </c>
      <c r="D19" s="3"/>
      <c r="E19" s="12"/>
      <c r="F19" s="12"/>
      <c r="G19" s="12"/>
      <c r="H19" s="12"/>
      <c r="I19" s="12"/>
      <c r="J19" s="12"/>
      <c r="K19" s="10" t="str">
        <f t="shared" si="2"/>
        <v/>
      </c>
      <c r="L19" s="10" t="str">
        <f t="shared" si="3"/>
        <v/>
      </c>
      <c r="M19" s="10" t="str">
        <f t="shared" si="4"/>
        <v/>
      </c>
      <c r="N19" s="10" t="str">
        <f t="shared" si="5"/>
        <v/>
      </c>
      <c r="O19" s="10" t="str">
        <f t="shared" si="6"/>
        <v/>
      </c>
      <c r="P19" s="10" t="str">
        <f t="shared" si="7"/>
        <v/>
      </c>
      <c r="Q19" s="10" t="str">
        <f t="shared" si="8"/>
        <v/>
      </c>
      <c r="R19" s="10" t="str">
        <f t="shared" si="9"/>
        <v/>
      </c>
      <c r="S19" s="10" t="str">
        <f t="shared" si="10"/>
        <v/>
      </c>
      <c r="T19" s="10" t="str">
        <f t="shared" si="11"/>
        <v/>
      </c>
    </row>
    <row r="20" spans="1:20" x14ac:dyDescent="0.2">
      <c r="A20" s="10" t="str">
        <f t="shared" si="0"/>
        <v/>
      </c>
      <c r="B20" s="3"/>
      <c r="C20" s="4" t="str">
        <f t="shared" si="1"/>
        <v/>
      </c>
      <c r="D20" s="3"/>
      <c r="E20" s="12"/>
      <c r="F20" s="12"/>
      <c r="G20" s="12"/>
      <c r="H20" s="12"/>
      <c r="I20" s="12"/>
      <c r="J20" s="12"/>
      <c r="K20" s="10" t="str">
        <f t="shared" si="2"/>
        <v/>
      </c>
      <c r="L20" s="10" t="str">
        <f t="shared" si="3"/>
        <v/>
      </c>
      <c r="M20" s="10" t="str">
        <f t="shared" si="4"/>
        <v/>
      </c>
      <c r="N20" s="10" t="str">
        <f t="shared" si="5"/>
        <v/>
      </c>
      <c r="O20" s="10" t="str">
        <f t="shared" si="6"/>
        <v/>
      </c>
      <c r="P20" s="10" t="str">
        <f t="shared" si="7"/>
        <v/>
      </c>
      <c r="Q20" s="10" t="str">
        <f t="shared" si="8"/>
        <v/>
      </c>
      <c r="R20" s="10" t="str">
        <f t="shared" si="9"/>
        <v/>
      </c>
      <c r="S20" s="10" t="str">
        <f t="shared" si="10"/>
        <v/>
      </c>
      <c r="T20" s="10" t="str">
        <f t="shared" si="11"/>
        <v/>
      </c>
    </row>
    <row r="21" spans="1:20" x14ac:dyDescent="0.2">
      <c r="A21" s="10" t="str">
        <f t="shared" si="0"/>
        <v/>
      </c>
      <c r="B21" s="3"/>
      <c r="C21" s="4" t="str">
        <f t="shared" si="1"/>
        <v/>
      </c>
      <c r="D21" s="3"/>
      <c r="E21" s="12"/>
      <c r="F21" s="12"/>
      <c r="G21" s="12"/>
      <c r="H21" s="12"/>
      <c r="I21" s="12"/>
      <c r="J21" s="12"/>
      <c r="K21" s="10" t="str">
        <f t="shared" si="2"/>
        <v/>
      </c>
      <c r="L21" s="10" t="str">
        <f t="shared" si="3"/>
        <v/>
      </c>
      <c r="M21" s="10" t="str">
        <f t="shared" si="4"/>
        <v/>
      </c>
      <c r="N21" s="10" t="str">
        <f t="shared" si="5"/>
        <v/>
      </c>
      <c r="O21" s="10" t="str">
        <f t="shared" si="6"/>
        <v/>
      </c>
      <c r="P21" s="10" t="str">
        <f t="shared" si="7"/>
        <v/>
      </c>
      <c r="Q21" s="10" t="str">
        <f t="shared" si="8"/>
        <v/>
      </c>
      <c r="R21" s="10" t="str">
        <f t="shared" si="9"/>
        <v/>
      </c>
      <c r="S21" s="10" t="str">
        <f t="shared" si="10"/>
        <v/>
      </c>
      <c r="T21" s="10" t="str">
        <f t="shared" si="11"/>
        <v/>
      </c>
    </row>
    <row r="22" spans="1:20" x14ac:dyDescent="0.2">
      <c r="A22" s="10" t="str">
        <f t="shared" si="0"/>
        <v/>
      </c>
      <c r="B22" s="3"/>
      <c r="C22" s="4" t="str">
        <f t="shared" si="1"/>
        <v/>
      </c>
      <c r="D22" s="3"/>
      <c r="E22" s="12"/>
      <c r="F22" s="12"/>
      <c r="G22" s="12"/>
      <c r="H22" s="12"/>
      <c r="I22" s="12"/>
      <c r="J22" s="12"/>
      <c r="K22" s="10" t="str">
        <f t="shared" si="2"/>
        <v/>
      </c>
      <c r="L22" s="10" t="str">
        <f t="shared" si="3"/>
        <v/>
      </c>
      <c r="M22" s="10" t="str">
        <f t="shared" si="4"/>
        <v/>
      </c>
      <c r="N22" s="10" t="str">
        <f t="shared" si="5"/>
        <v/>
      </c>
      <c r="O22" s="10" t="str">
        <f t="shared" si="6"/>
        <v/>
      </c>
      <c r="P22" s="10" t="str">
        <f t="shared" si="7"/>
        <v/>
      </c>
      <c r="Q22" s="10" t="str">
        <f t="shared" si="8"/>
        <v/>
      </c>
      <c r="R22" s="10" t="str">
        <f t="shared" si="9"/>
        <v/>
      </c>
      <c r="S22" s="10" t="str">
        <f t="shared" si="10"/>
        <v/>
      </c>
      <c r="T22" s="10" t="str">
        <f t="shared" si="11"/>
        <v/>
      </c>
    </row>
    <row r="23" spans="1:20" x14ac:dyDescent="0.2">
      <c r="A23" s="10" t="str">
        <f t="shared" si="0"/>
        <v/>
      </c>
      <c r="B23" s="3"/>
      <c r="C23" s="4" t="str">
        <f t="shared" si="1"/>
        <v/>
      </c>
      <c r="D23" s="3"/>
      <c r="E23" s="12"/>
      <c r="F23" s="12"/>
      <c r="G23" s="12"/>
      <c r="H23" s="12"/>
      <c r="I23" s="12"/>
      <c r="J23" s="12"/>
      <c r="K23" s="10" t="str">
        <f t="shared" si="2"/>
        <v/>
      </c>
      <c r="L23" s="10" t="str">
        <f t="shared" si="3"/>
        <v/>
      </c>
      <c r="M23" s="10" t="str">
        <f t="shared" si="4"/>
        <v/>
      </c>
      <c r="N23" s="10" t="str">
        <f t="shared" si="5"/>
        <v/>
      </c>
      <c r="O23" s="10" t="str">
        <f t="shared" si="6"/>
        <v/>
      </c>
      <c r="P23" s="10" t="str">
        <f t="shared" si="7"/>
        <v/>
      </c>
      <c r="Q23" s="10" t="str">
        <f t="shared" si="8"/>
        <v/>
      </c>
      <c r="R23" s="10" t="str">
        <f t="shared" si="9"/>
        <v/>
      </c>
      <c r="S23" s="10" t="str">
        <f t="shared" si="10"/>
        <v/>
      </c>
      <c r="T23" s="10" t="str">
        <f t="shared" si="11"/>
        <v/>
      </c>
    </row>
    <row r="24" spans="1:20" x14ac:dyDescent="0.2">
      <c r="A24" s="10" t="str">
        <f t="shared" si="0"/>
        <v/>
      </c>
      <c r="B24" s="3"/>
      <c r="C24" s="4" t="str">
        <f t="shared" si="1"/>
        <v/>
      </c>
      <c r="D24" s="3"/>
      <c r="E24" s="12"/>
      <c r="F24" s="12"/>
      <c r="G24" s="12"/>
      <c r="H24" s="12"/>
      <c r="I24" s="12"/>
      <c r="J24" s="12"/>
      <c r="K24" s="10" t="str">
        <f t="shared" si="2"/>
        <v/>
      </c>
      <c r="L24" s="10" t="str">
        <f t="shared" si="3"/>
        <v/>
      </c>
      <c r="M24" s="10" t="str">
        <f t="shared" si="4"/>
        <v/>
      </c>
      <c r="N24" s="10" t="str">
        <f t="shared" si="5"/>
        <v/>
      </c>
      <c r="O24" s="10" t="str">
        <f t="shared" si="6"/>
        <v/>
      </c>
      <c r="P24" s="10" t="str">
        <f t="shared" si="7"/>
        <v/>
      </c>
      <c r="Q24" s="10" t="str">
        <f t="shared" si="8"/>
        <v/>
      </c>
      <c r="R24" s="10" t="str">
        <f t="shared" si="9"/>
        <v/>
      </c>
      <c r="S24" s="10" t="str">
        <f t="shared" si="10"/>
        <v/>
      </c>
      <c r="T24" s="10" t="str">
        <f t="shared" si="11"/>
        <v/>
      </c>
    </row>
    <row r="25" spans="1:20" ht="15.75" thickBot="1" x14ac:dyDescent="0.25">
      <c r="A25" s="10" t="str">
        <f t="shared" si="0"/>
        <v/>
      </c>
      <c r="B25" s="15"/>
      <c r="C25" s="4" t="str">
        <f t="shared" si="1"/>
        <v/>
      </c>
      <c r="D25" s="3"/>
      <c r="E25" s="12"/>
      <c r="F25" s="12"/>
      <c r="G25" s="12"/>
      <c r="H25" s="12"/>
      <c r="I25" s="12"/>
      <c r="J25" s="12"/>
      <c r="K25" s="10" t="str">
        <f t="shared" si="2"/>
        <v/>
      </c>
      <c r="L25" s="10" t="str">
        <f t="shared" si="3"/>
        <v/>
      </c>
      <c r="M25" s="10" t="str">
        <f t="shared" si="4"/>
        <v/>
      </c>
      <c r="N25" s="10" t="str">
        <f t="shared" si="5"/>
        <v/>
      </c>
      <c r="O25" s="10" t="str">
        <f t="shared" si="6"/>
        <v/>
      </c>
      <c r="P25" s="10" t="str">
        <f t="shared" si="7"/>
        <v/>
      </c>
      <c r="Q25" s="10" t="str">
        <f t="shared" si="8"/>
        <v/>
      </c>
      <c r="R25" s="10" t="str">
        <f t="shared" si="9"/>
        <v/>
      </c>
      <c r="S25" s="10" t="str">
        <f t="shared" si="10"/>
        <v/>
      </c>
      <c r="T25" s="10" t="str">
        <f t="shared" si="11"/>
        <v/>
      </c>
    </row>
    <row r="26" spans="1:20" x14ac:dyDescent="0.2">
      <c r="A26" s="10" t="str">
        <f t="shared" si="0"/>
        <v/>
      </c>
      <c r="B26" s="3"/>
      <c r="C26" s="4" t="str">
        <f t="shared" si="1"/>
        <v/>
      </c>
      <c r="D26" s="3"/>
      <c r="E26" s="12"/>
      <c r="F26" s="12"/>
      <c r="G26" s="12"/>
      <c r="H26" s="12"/>
      <c r="I26" s="12"/>
      <c r="J26" s="12"/>
      <c r="K26" s="10" t="str">
        <f t="shared" si="2"/>
        <v/>
      </c>
      <c r="L26" s="10" t="str">
        <f t="shared" si="3"/>
        <v/>
      </c>
      <c r="M26" s="10" t="str">
        <f t="shared" si="4"/>
        <v/>
      </c>
      <c r="N26" s="10" t="str">
        <f t="shared" si="5"/>
        <v/>
      </c>
      <c r="O26" s="10" t="str">
        <f t="shared" si="6"/>
        <v/>
      </c>
      <c r="P26" s="10" t="str">
        <f t="shared" si="7"/>
        <v/>
      </c>
      <c r="Q26" s="10" t="str">
        <f t="shared" si="8"/>
        <v/>
      </c>
      <c r="R26" s="10" t="str">
        <f t="shared" si="9"/>
        <v/>
      </c>
      <c r="S26" s="10" t="str">
        <f t="shared" si="10"/>
        <v/>
      </c>
      <c r="T26" s="10" t="str">
        <f t="shared" si="11"/>
        <v/>
      </c>
    </row>
    <row r="27" spans="1:20" x14ac:dyDescent="0.2">
      <c r="A27" s="10" t="str">
        <f t="shared" si="0"/>
        <v/>
      </c>
      <c r="B27" s="3"/>
      <c r="C27" s="4" t="str">
        <f t="shared" si="1"/>
        <v/>
      </c>
      <c r="D27" s="3"/>
      <c r="E27" s="12"/>
      <c r="F27" s="12"/>
      <c r="G27" s="12"/>
      <c r="H27" s="12"/>
      <c r="I27" s="12"/>
      <c r="J27" s="12"/>
      <c r="K27" s="10" t="str">
        <f t="shared" si="2"/>
        <v/>
      </c>
      <c r="L27" s="10" t="str">
        <f t="shared" si="3"/>
        <v/>
      </c>
      <c r="M27" s="10" t="str">
        <f t="shared" si="4"/>
        <v/>
      </c>
      <c r="N27" s="10" t="str">
        <f t="shared" si="5"/>
        <v/>
      </c>
      <c r="O27" s="10" t="str">
        <f t="shared" si="6"/>
        <v/>
      </c>
      <c r="P27" s="10" t="str">
        <f t="shared" si="7"/>
        <v/>
      </c>
      <c r="Q27" s="10" t="str">
        <f t="shared" si="8"/>
        <v/>
      </c>
      <c r="R27" s="10" t="str">
        <f t="shared" si="9"/>
        <v/>
      </c>
      <c r="S27" s="10" t="str">
        <f t="shared" si="10"/>
        <v/>
      </c>
      <c r="T27" s="10" t="str">
        <f t="shared" si="11"/>
        <v/>
      </c>
    </row>
    <row r="28" spans="1:20" x14ac:dyDescent="0.2">
      <c r="A28" s="10" t="str">
        <f t="shared" si="0"/>
        <v/>
      </c>
      <c r="B28" s="3"/>
      <c r="C28" s="4" t="str">
        <f t="shared" si="1"/>
        <v/>
      </c>
      <c r="D28" s="3"/>
      <c r="E28" s="12"/>
      <c r="F28" s="12"/>
      <c r="G28" s="12"/>
      <c r="H28" s="12"/>
      <c r="I28" s="12"/>
      <c r="J28" s="12"/>
      <c r="K28" s="10" t="str">
        <f t="shared" si="2"/>
        <v/>
      </c>
      <c r="L28" s="10" t="str">
        <f t="shared" si="3"/>
        <v/>
      </c>
      <c r="M28" s="10" t="str">
        <f t="shared" si="4"/>
        <v/>
      </c>
      <c r="N28" s="10" t="str">
        <f t="shared" si="5"/>
        <v/>
      </c>
      <c r="O28" s="10" t="str">
        <f t="shared" si="6"/>
        <v/>
      </c>
      <c r="P28" s="10" t="str">
        <f t="shared" si="7"/>
        <v/>
      </c>
      <c r="Q28" s="10" t="str">
        <f t="shared" si="8"/>
        <v/>
      </c>
      <c r="R28" s="10" t="str">
        <f t="shared" si="9"/>
        <v/>
      </c>
      <c r="S28" s="10" t="str">
        <f t="shared" si="10"/>
        <v/>
      </c>
      <c r="T28" s="10" t="str">
        <f t="shared" si="11"/>
        <v/>
      </c>
    </row>
    <row r="29" spans="1:20" x14ac:dyDescent="0.2">
      <c r="A29" s="10" t="str">
        <f t="shared" si="0"/>
        <v/>
      </c>
      <c r="B29" s="3"/>
      <c r="C29" s="4" t="str">
        <f t="shared" si="1"/>
        <v/>
      </c>
      <c r="D29" s="3"/>
      <c r="E29" s="12"/>
      <c r="F29" s="12"/>
      <c r="G29" s="12"/>
      <c r="H29" s="12"/>
      <c r="I29" s="12"/>
      <c r="J29" s="12"/>
      <c r="K29" s="10" t="str">
        <f t="shared" si="2"/>
        <v/>
      </c>
      <c r="L29" s="10" t="str">
        <f t="shared" si="3"/>
        <v/>
      </c>
      <c r="M29" s="10" t="str">
        <f t="shared" si="4"/>
        <v/>
      </c>
      <c r="N29" s="10" t="str">
        <f t="shared" si="5"/>
        <v/>
      </c>
      <c r="O29" s="10" t="str">
        <f t="shared" si="6"/>
        <v/>
      </c>
      <c r="P29" s="10" t="str">
        <f t="shared" si="7"/>
        <v/>
      </c>
      <c r="Q29" s="10" t="str">
        <f t="shared" si="8"/>
        <v/>
      </c>
      <c r="R29" s="10" t="str">
        <f t="shared" si="9"/>
        <v/>
      </c>
      <c r="S29" s="10" t="str">
        <f t="shared" si="10"/>
        <v/>
      </c>
      <c r="T29" s="10" t="str">
        <f t="shared" si="11"/>
        <v/>
      </c>
    </row>
    <row r="30" spans="1:20" x14ac:dyDescent="0.2">
      <c r="A30" s="10" t="str">
        <f t="shared" si="0"/>
        <v/>
      </c>
      <c r="B30" s="3"/>
      <c r="C30" s="4" t="str">
        <f t="shared" si="1"/>
        <v/>
      </c>
      <c r="D30" s="3"/>
      <c r="E30" s="12"/>
      <c r="F30" s="12"/>
      <c r="G30" s="12"/>
      <c r="H30" s="12"/>
      <c r="I30" s="12"/>
      <c r="J30" s="12"/>
      <c r="K30" s="10" t="str">
        <f t="shared" si="2"/>
        <v/>
      </c>
      <c r="L30" s="10" t="str">
        <f t="shared" si="3"/>
        <v/>
      </c>
      <c r="M30" s="10" t="str">
        <f t="shared" si="4"/>
        <v/>
      </c>
      <c r="N30" s="10" t="str">
        <f t="shared" si="5"/>
        <v/>
      </c>
      <c r="O30" s="10" t="str">
        <f t="shared" si="6"/>
        <v/>
      </c>
      <c r="P30" s="10" t="str">
        <f t="shared" si="7"/>
        <v/>
      </c>
      <c r="Q30" s="10" t="str">
        <f t="shared" si="8"/>
        <v/>
      </c>
      <c r="R30" s="10" t="str">
        <f t="shared" si="9"/>
        <v/>
      </c>
      <c r="S30" s="10" t="str">
        <f t="shared" si="10"/>
        <v/>
      </c>
      <c r="T30" s="10" t="str">
        <f t="shared" si="11"/>
        <v/>
      </c>
    </row>
    <row r="31" spans="1:20" x14ac:dyDescent="0.2">
      <c r="A31" s="10" t="str">
        <f t="shared" si="0"/>
        <v/>
      </c>
      <c r="B31" s="3"/>
      <c r="C31" s="4" t="str">
        <f t="shared" si="1"/>
        <v/>
      </c>
      <c r="D31" s="3"/>
      <c r="E31" s="12"/>
      <c r="F31" s="12"/>
      <c r="G31" s="12"/>
      <c r="H31" s="12"/>
      <c r="I31" s="12"/>
      <c r="J31" s="12"/>
      <c r="K31" s="10" t="str">
        <f t="shared" si="2"/>
        <v/>
      </c>
      <c r="L31" s="10" t="str">
        <f t="shared" si="3"/>
        <v/>
      </c>
      <c r="M31" s="10" t="str">
        <f t="shared" si="4"/>
        <v/>
      </c>
      <c r="N31" s="10" t="str">
        <f t="shared" si="5"/>
        <v/>
      </c>
      <c r="O31" s="10" t="str">
        <f t="shared" si="6"/>
        <v/>
      </c>
      <c r="P31" s="10" t="str">
        <f t="shared" si="7"/>
        <v/>
      </c>
      <c r="Q31" s="10" t="str">
        <f t="shared" si="8"/>
        <v/>
      </c>
      <c r="R31" s="10" t="str">
        <f t="shared" si="9"/>
        <v/>
      </c>
      <c r="S31" s="10" t="str">
        <f t="shared" si="10"/>
        <v/>
      </c>
      <c r="T31" s="10" t="str">
        <f t="shared" si="11"/>
        <v/>
      </c>
    </row>
    <row r="32" spans="1:20" x14ac:dyDescent="0.2">
      <c r="A32" s="10" t="str">
        <f t="shared" si="0"/>
        <v/>
      </c>
      <c r="B32" s="3"/>
      <c r="C32" s="4" t="str">
        <f t="shared" si="1"/>
        <v/>
      </c>
      <c r="D32" s="3"/>
      <c r="E32" s="12"/>
      <c r="F32" s="12"/>
      <c r="G32" s="12"/>
      <c r="H32" s="12"/>
      <c r="I32" s="12"/>
      <c r="J32" s="12"/>
      <c r="K32" s="10" t="str">
        <f t="shared" si="2"/>
        <v/>
      </c>
      <c r="L32" s="10" t="str">
        <f t="shared" si="3"/>
        <v/>
      </c>
      <c r="M32" s="10" t="str">
        <f t="shared" si="4"/>
        <v/>
      </c>
      <c r="N32" s="10" t="str">
        <f t="shared" si="5"/>
        <v/>
      </c>
      <c r="O32" s="10" t="str">
        <f t="shared" si="6"/>
        <v/>
      </c>
      <c r="P32" s="10" t="str">
        <f t="shared" si="7"/>
        <v/>
      </c>
      <c r="Q32" s="10" t="str">
        <f t="shared" si="8"/>
        <v/>
      </c>
      <c r="R32" s="10" t="str">
        <f t="shared" si="9"/>
        <v/>
      </c>
      <c r="S32" s="10" t="str">
        <f t="shared" si="10"/>
        <v/>
      </c>
      <c r="T32" s="10" t="str">
        <f t="shared" si="11"/>
        <v/>
      </c>
    </row>
    <row r="33" spans="1:20" x14ac:dyDescent="0.2">
      <c r="A33" s="10" t="str">
        <f t="shared" si="0"/>
        <v/>
      </c>
      <c r="B33" s="3"/>
      <c r="C33" s="4" t="str">
        <f t="shared" si="1"/>
        <v/>
      </c>
      <c r="D33" s="3"/>
      <c r="E33" s="12"/>
      <c r="F33" s="12"/>
      <c r="G33" s="12"/>
      <c r="H33" s="12"/>
      <c r="I33" s="12"/>
      <c r="J33" s="12"/>
      <c r="K33" s="10" t="str">
        <f t="shared" si="2"/>
        <v/>
      </c>
      <c r="L33" s="10" t="str">
        <f t="shared" si="3"/>
        <v/>
      </c>
      <c r="M33" s="10" t="str">
        <f t="shared" si="4"/>
        <v/>
      </c>
      <c r="N33" s="10" t="str">
        <f t="shared" si="5"/>
        <v/>
      </c>
      <c r="O33" s="10" t="str">
        <f t="shared" si="6"/>
        <v/>
      </c>
      <c r="P33" s="10" t="str">
        <f t="shared" si="7"/>
        <v/>
      </c>
      <c r="Q33" s="10" t="str">
        <f t="shared" si="8"/>
        <v/>
      </c>
      <c r="R33" s="10" t="str">
        <f t="shared" si="9"/>
        <v/>
      </c>
      <c r="S33" s="10" t="str">
        <f t="shared" si="10"/>
        <v/>
      </c>
      <c r="T33" s="10" t="str">
        <f t="shared" si="11"/>
        <v/>
      </c>
    </row>
    <row r="34" spans="1:20" x14ac:dyDescent="0.2">
      <c r="A34" s="10" t="str">
        <f t="shared" si="0"/>
        <v/>
      </c>
      <c r="B34" s="3"/>
      <c r="C34" s="4" t="str">
        <f t="shared" si="1"/>
        <v/>
      </c>
      <c r="D34" s="3"/>
      <c r="E34" s="12"/>
      <c r="F34" s="12"/>
      <c r="G34" s="12"/>
      <c r="H34" s="12"/>
      <c r="I34" s="12"/>
      <c r="J34" s="12"/>
      <c r="K34" s="10" t="str">
        <f t="shared" si="2"/>
        <v/>
      </c>
      <c r="L34" s="10" t="str">
        <f t="shared" si="3"/>
        <v/>
      </c>
      <c r="M34" s="10" t="str">
        <f t="shared" si="4"/>
        <v/>
      </c>
      <c r="N34" s="10" t="str">
        <f t="shared" si="5"/>
        <v/>
      </c>
      <c r="O34" s="10" t="str">
        <f t="shared" si="6"/>
        <v/>
      </c>
      <c r="P34" s="10" t="str">
        <f t="shared" si="7"/>
        <v/>
      </c>
      <c r="Q34" s="10" t="str">
        <f t="shared" si="8"/>
        <v/>
      </c>
      <c r="R34" s="10" t="str">
        <f t="shared" si="9"/>
        <v/>
      </c>
      <c r="S34" s="10" t="str">
        <f t="shared" si="10"/>
        <v/>
      </c>
      <c r="T34" s="10" t="str">
        <f t="shared" si="11"/>
        <v/>
      </c>
    </row>
    <row r="35" spans="1:20" x14ac:dyDescent="0.2">
      <c r="A35" s="10" t="str">
        <f t="shared" si="0"/>
        <v/>
      </c>
      <c r="B35" s="3"/>
      <c r="C35" s="4" t="str">
        <f t="shared" si="1"/>
        <v/>
      </c>
      <c r="D35" s="3"/>
      <c r="E35" s="12"/>
      <c r="F35" s="12"/>
      <c r="G35" s="12"/>
      <c r="H35" s="12"/>
      <c r="I35" s="12"/>
      <c r="J35" s="12"/>
      <c r="K35" s="10" t="str">
        <f t="shared" si="2"/>
        <v/>
      </c>
      <c r="L35" s="10" t="str">
        <f t="shared" si="3"/>
        <v/>
      </c>
      <c r="M35" s="10" t="str">
        <f t="shared" si="4"/>
        <v/>
      </c>
      <c r="N35" s="10" t="str">
        <f t="shared" si="5"/>
        <v/>
      </c>
      <c r="O35" s="10" t="str">
        <f t="shared" si="6"/>
        <v/>
      </c>
      <c r="P35" s="10" t="str">
        <f t="shared" si="7"/>
        <v/>
      </c>
      <c r="Q35" s="10" t="str">
        <f t="shared" si="8"/>
        <v/>
      </c>
      <c r="R35" s="10" t="str">
        <f t="shared" si="9"/>
        <v/>
      </c>
      <c r="S35" s="10" t="str">
        <f t="shared" si="10"/>
        <v/>
      </c>
      <c r="T35" s="10" t="str">
        <f t="shared" si="11"/>
        <v/>
      </c>
    </row>
    <row r="36" spans="1:20" x14ac:dyDescent="0.2">
      <c r="A36" s="10" t="str">
        <f t="shared" si="0"/>
        <v/>
      </c>
      <c r="B36" s="3"/>
      <c r="C36" s="4" t="str">
        <f t="shared" si="1"/>
        <v/>
      </c>
      <c r="D36" s="3"/>
      <c r="E36" s="12"/>
      <c r="F36" s="12"/>
      <c r="G36" s="12"/>
      <c r="H36" s="12"/>
      <c r="I36" s="12"/>
      <c r="J36" s="12"/>
      <c r="K36" s="10" t="str">
        <f t="shared" si="2"/>
        <v/>
      </c>
      <c r="L36" s="10" t="str">
        <f t="shared" si="3"/>
        <v/>
      </c>
      <c r="M36" s="10" t="str">
        <f t="shared" si="4"/>
        <v/>
      </c>
      <c r="N36" s="10" t="str">
        <f t="shared" si="5"/>
        <v/>
      </c>
      <c r="O36" s="10" t="str">
        <f t="shared" si="6"/>
        <v/>
      </c>
      <c r="P36" s="10" t="str">
        <f t="shared" si="7"/>
        <v/>
      </c>
      <c r="Q36" s="10" t="str">
        <f t="shared" si="8"/>
        <v/>
      </c>
      <c r="R36" s="10" t="str">
        <f t="shared" si="9"/>
        <v/>
      </c>
      <c r="S36" s="10" t="str">
        <f t="shared" si="10"/>
        <v/>
      </c>
      <c r="T36" s="10" t="str">
        <f t="shared" si="11"/>
        <v/>
      </c>
    </row>
    <row r="37" spans="1:20" x14ac:dyDescent="0.2">
      <c r="A37" s="10" t="str">
        <f t="shared" si="0"/>
        <v/>
      </c>
      <c r="B37" s="3"/>
      <c r="C37" s="4" t="str">
        <f t="shared" si="1"/>
        <v/>
      </c>
      <c r="D37" s="3"/>
      <c r="E37" s="12"/>
      <c r="F37" s="12"/>
      <c r="G37" s="12"/>
      <c r="H37" s="12"/>
      <c r="I37" s="12"/>
      <c r="J37" s="12"/>
      <c r="K37" s="10" t="str">
        <f t="shared" si="2"/>
        <v/>
      </c>
      <c r="L37" s="10" t="str">
        <f t="shared" si="3"/>
        <v/>
      </c>
      <c r="M37" s="10" t="str">
        <f t="shared" si="4"/>
        <v/>
      </c>
      <c r="N37" s="10" t="str">
        <f t="shared" si="5"/>
        <v/>
      </c>
      <c r="O37" s="10" t="str">
        <f t="shared" si="6"/>
        <v/>
      </c>
      <c r="P37" s="10" t="str">
        <f t="shared" si="7"/>
        <v/>
      </c>
      <c r="Q37" s="10" t="str">
        <f t="shared" si="8"/>
        <v/>
      </c>
      <c r="R37" s="10" t="str">
        <f t="shared" si="9"/>
        <v/>
      </c>
      <c r="S37" s="10" t="str">
        <f t="shared" si="10"/>
        <v/>
      </c>
      <c r="T37" s="10" t="str">
        <f t="shared" si="11"/>
        <v/>
      </c>
    </row>
    <row r="38" spans="1:20" x14ac:dyDescent="0.2">
      <c r="A38" s="10" t="str">
        <f t="shared" ref="A38:A69" si="12">IF(ISTEXT(B38),startNum + ROW() - 6,"")</f>
        <v/>
      </c>
      <c r="B38" s="3"/>
      <c r="C38" s="4" t="str">
        <f t="shared" ref="C38:C69" si="13">IF(ISTEXT(B38),club,"")</f>
        <v/>
      </c>
      <c r="D38" s="3"/>
      <c r="E38" s="12"/>
      <c r="F38" s="12"/>
      <c r="G38" s="12"/>
      <c r="H38" s="12"/>
      <c r="I38" s="12"/>
      <c r="J38" s="12"/>
      <c r="K38" s="10" t="str">
        <f t="shared" ref="K38:K69" si="14">IF(ISBLANK(D38),"",IF(ISBLANK(F38),"",IF(D38="Girls 6 &amp; Under",G8ANDU,IF(D38="Girls 7 &amp; 8", G8ANDU, IF(D38="Boys 6 &amp; Under",B8ANDU,IF(D38="Boys 7 &amp; 8",B8ANDU,VLOOKUP(D38,IMEvents,2,FALSE)))))))</f>
        <v/>
      </c>
      <c r="L38" s="10" t="str">
        <f t="shared" ref="L38:L69" si="15">IF(ISBLANK(F38),"",VLOOKUP(K38,IMNos,2,FALSE))</f>
        <v/>
      </c>
      <c r="M38" s="10" t="str">
        <f t="shared" ref="M38:M69" si="16">IF(ISBLANK(D38),"",IF(ISBLANK(G38),"",VLOOKUP(D38,FreeEvents,2,FALSE)))</f>
        <v/>
      </c>
      <c r="N38" s="10" t="str">
        <f t="shared" ref="N38:N69" si="17">IF(ISBLANK(G38),"",VLOOKUP(M38,FreeNos,2,FALSE))</f>
        <v/>
      </c>
      <c r="O38" s="10" t="str">
        <f t="shared" ref="O38:O69" si="18">IF(ISBLANK(D38),"",IF(ISBLANK(H38),"",VLOOKUP(D38,BackEvents,2,FALSE)))</f>
        <v/>
      </c>
      <c r="P38" s="10" t="str">
        <f t="shared" ref="P38:P69" si="19">IF(ISBLANK(H38),"",VLOOKUP(O38,BackNos,2,FALSE))</f>
        <v/>
      </c>
      <c r="Q38" s="10" t="str">
        <f t="shared" ref="Q38:Q69" si="20">IF(ISBLANK(D38),"",IF(ISBLANK(I38),"",VLOOKUP(D38,FlyEvents,2,FALSE)))</f>
        <v/>
      </c>
      <c r="R38" s="10" t="str">
        <f t="shared" ref="R38:R69" si="21">IF(ISBLANK(I38),"",VLOOKUP(Q38,FlyNos,2,FALSE))</f>
        <v/>
      </c>
      <c r="S38" s="10" t="str">
        <f t="shared" ref="S38:S69" si="22">IF(ISBLANK(D38),"",IF(ISBLANK(J38),"",VLOOKUP(D38,BreastEvents,2,FALSE)))</f>
        <v/>
      </c>
      <c r="T38" s="10" t="str">
        <f t="shared" ref="T38:T69" si="23">IF(ISBLANK(J38),"",VLOOKUP(S38,BreastNos,2,FALSE))</f>
        <v/>
      </c>
    </row>
    <row r="39" spans="1:20" x14ac:dyDescent="0.2">
      <c r="A39" s="10" t="str">
        <f t="shared" si="12"/>
        <v/>
      </c>
      <c r="B39" s="3"/>
      <c r="C39" s="4" t="str">
        <f t="shared" si="13"/>
        <v/>
      </c>
      <c r="D39" s="3"/>
      <c r="E39" s="12"/>
      <c r="F39" s="12"/>
      <c r="G39" s="12"/>
      <c r="H39" s="12"/>
      <c r="I39" s="12"/>
      <c r="J39" s="12"/>
      <c r="K39" s="10" t="str">
        <f t="shared" si="14"/>
        <v/>
      </c>
      <c r="L39" s="10" t="str">
        <f t="shared" si="15"/>
        <v/>
      </c>
      <c r="M39" s="10" t="str">
        <f t="shared" si="16"/>
        <v/>
      </c>
      <c r="N39" s="10" t="str">
        <f t="shared" si="17"/>
        <v/>
      </c>
      <c r="O39" s="10" t="str">
        <f t="shared" si="18"/>
        <v/>
      </c>
      <c r="P39" s="10" t="str">
        <f t="shared" si="19"/>
        <v/>
      </c>
      <c r="Q39" s="10" t="str">
        <f t="shared" si="20"/>
        <v/>
      </c>
      <c r="R39" s="10" t="str">
        <f t="shared" si="21"/>
        <v/>
      </c>
      <c r="S39" s="10" t="str">
        <f t="shared" si="22"/>
        <v/>
      </c>
      <c r="T39" s="10" t="str">
        <f t="shared" si="23"/>
        <v/>
      </c>
    </row>
    <row r="40" spans="1:20" x14ac:dyDescent="0.2">
      <c r="A40" s="10" t="str">
        <f t="shared" si="12"/>
        <v/>
      </c>
      <c r="B40" s="3"/>
      <c r="C40" s="4" t="str">
        <f t="shared" si="13"/>
        <v/>
      </c>
      <c r="D40" s="3"/>
      <c r="E40" s="12"/>
      <c r="F40" s="12"/>
      <c r="G40" s="12"/>
      <c r="H40" s="12"/>
      <c r="I40" s="12"/>
      <c r="J40" s="12"/>
      <c r="K40" s="10" t="str">
        <f t="shared" si="14"/>
        <v/>
      </c>
      <c r="L40" s="10" t="str">
        <f t="shared" si="15"/>
        <v/>
      </c>
      <c r="M40" s="10" t="str">
        <f t="shared" si="16"/>
        <v/>
      </c>
      <c r="N40" s="10" t="str">
        <f t="shared" si="17"/>
        <v/>
      </c>
      <c r="O40" s="10" t="str">
        <f t="shared" si="18"/>
        <v/>
      </c>
      <c r="P40" s="10" t="str">
        <f t="shared" si="19"/>
        <v/>
      </c>
      <c r="Q40" s="10" t="str">
        <f t="shared" si="20"/>
        <v/>
      </c>
      <c r="R40" s="10" t="str">
        <f t="shared" si="21"/>
        <v/>
      </c>
      <c r="S40" s="10" t="str">
        <f t="shared" si="22"/>
        <v/>
      </c>
      <c r="T40" s="10" t="str">
        <f t="shared" si="23"/>
        <v/>
      </c>
    </row>
    <row r="41" spans="1:20" x14ac:dyDescent="0.2">
      <c r="A41" s="10" t="str">
        <f t="shared" si="12"/>
        <v/>
      </c>
      <c r="B41" s="3"/>
      <c r="C41" s="4" t="str">
        <f t="shared" si="13"/>
        <v/>
      </c>
      <c r="D41" s="3"/>
      <c r="E41" s="12"/>
      <c r="F41" s="12"/>
      <c r="G41" s="12"/>
      <c r="H41" s="12"/>
      <c r="I41" s="12"/>
      <c r="J41" s="12"/>
      <c r="K41" s="10" t="str">
        <f t="shared" si="14"/>
        <v/>
      </c>
      <c r="L41" s="10" t="str">
        <f t="shared" si="15"/>
        <v/>
      </c>
      <c r="M41" s="10" t="str">
        <f t="shared" si="16"/>
        <v/>
      </c>
      <c r="N41" s="10" t="str">
        <f t="shared" si="17"/>
        <v/>
      </c>
      <c r="O41" s="10" t="str">
        <f t="shared" si="18"/>
        <v/>
      </c>
      <c r="P41" s="10" t="str">
        <f t="shared" si="19"/>
        <v/>
      </c>
      <c r="Q41" s="10" t="str">
        <f t="shared" si="20"/>
        <v/>
      </c>
      <c r="R41" s="10" t="str">
        <f t="shared" si="21"/>
        <v/>
      </c>
      <c r="S41" s="10" t="str">
        <f t="shared" si="22"/>
        <v/>
      </c>
      <c r="T41" s="10" t="str">
        <f t="shared" si="23"/>
        <v/>
      </c>
    </row>
    <row r="42" spans="1:20" x14ac:dyDescent="0.2">
      <c r="A42" s="10" t="str">
        <f t="shared" si="12"/>
        <v/>
      </c>
      <c r="B42" s="3"/>
      <c r="C42" s="4" t="str">
        <f t="shared" si="13"/>
        <v/>
      </c>
      <c r="D42" s="3"/>
      <c r="E42" s="12"/>
      <c r="F42" s="12"/>
      <c r="G42" s="12"/>
      <c r="H42" s="12"/>
      <c r="I42" s="12"/>
      <c r="J42" s="12"/>
      <c r="K42" s="10" t="str">
        <f t="shared" si="14"/>
        <v/>
      </c>
      <c r="L42" s="10" t="str">
        <f t="shared" si="15"/>
        <v/>
      </c>
      <c r="M42" s="10" t="str">
        <f t="shared" si="16"/>
        <v/>
      </c>
      <c r="N42" s="10" t="str">
        <f t="shared" si="17"/>
        <v/>
      </c>
      <c r="O42" s="10" t="str">
        <f t="shared" si="18"/>
        <v/>
      </c>
      <c r="P42" s="10" t="str">
        <f t="shared" si="19"/>
        <v/>
      </c>
      <c r="Q42" s="10" t="str">
        <f t="shared" si="20"/>
        <v/>
      </c>
      <c r="R42" s="10" t="str">
        <f t="shared" si="21"/>
        <v/>
      </c>
      <c r="S42" s="10" t="str">
        <f t="shared" si="22"/>
        <v/>
      </c>
      <c r="T42" s="10" t="str">
        <f t="shared" si="23"/>
        <v/>
      </c>
    </row>
    <row r="43" spans="1:20" x14ac:dyDescent="0.2">
      <c r="A43" s="10" t="str">
        <f t="shared" si="12"/>
        <v/>
      </c>
      <c r="B43" s="3"/>
      <c r="C43" s="4" t="str">
        <f t="shared" si="13"/>
        <v/>
      </c>
      <c r="D43" s="3"/>
      <c r="E43" s="12"/>
      <c r="F43" s="12"/>
      <c r="G43" s="12"/>
      <c r="H43" s="12"/>
      <c r="I43" s="12"/>
      <c r="J43" s="12"/>
      <c r="K43" s="10" t="str">
        <f t="shared" si="14"/>
        <v/>
      </c>
      <c r="L43" s="10" t="str">
        <f t="shared" si="15"/>
        <v/>
      </c>
      <c r="M43" s="10" t="str">
        <f t="shared" si="16"/>
        <v/>
      </c>
      <c r="N43" s="10" t="str">
        <f t="shared" si="17"/>
        <v/>
      </c>
      <c r="O43" s="10" t="str">
        <f t="shared" si="18"/>
        <v/>
      </c>
      <c r="P43" s="10" t="str">
        <f t="shared" si="19"/>
        <v/>
      </c>
      <c r="Q43" s="10" t="str">
        <f t="shared" si="20"/>
        <v/>
      </c>
      <c r="R43" s="10" t="str">
        <f t="shared" si="21"/>
        <v/>
      </c>
      <c r="S43" s="10" t="str">
        <f t="shared" si="22"/>
        <v/>
      </c>
      <c r="T43" s="10" t="str">
        <f t="shared" si="23"/>
        <v/>
      </c>
    </row>
    <row r="44" spans="1:20" x14ac:dyDescent="0.2">
      <c r="A44" s="10" t="str">
        <f t="shared" si="12"/>
        <v/>
      </c>
      <c r="B44" s="3"/>
      <c r="C44" s="4" t="str">
        <f t="shared" si="13"/>
        <v/>
      </c>
      <c r="D44" s="3"/>
      <c r="E44" s="12"/>
      <c r="F44" s="12"/>
      <c r="G44" s="12"/>
      <c r="H44" s="12"/>
      <c r="I44" s="12"/>
      <c r="J44" s="12"/>
      <c r="K44" s="10" t="str">
        <f t="shared" si="14"/>
        <v/>
      </c>
      <c r="L44" s="10" t="str">
        <f t="shared" si="15"/>
        <v/>
      </c>
      <c r="M44" s="10" t="str">
        <f t="shared" si="16"/>
        <v/>
      </c>
      <c r="N44" s="10" t="str">
        <f t="shared" si="17"/>
        <v/>
      </c>
      <c r="O44" s="10" t="str">
        <f t="shared" si="18"/>
        <v/>
      </c>
      <c r="P44" s="10" t="str">
        <f t="shared" si="19"/>
        <v/>
      </c>
      <c r="Q44" s="10" t="str">
        <f t="shared" si="20"/>
        <v/>
      </c>
      <c r="R44" s="10" t="str">
        <f t="shared" si="21"/>
        <v/>
      </c>
      <c r="S44" s="10" t="str">
        <f t="shared" si="22"/>
        <v/>
      </c>
      <c r="T44" s="10" t="str">
        <f t="shared" si="23"/>
        <v/>
      </c>
    </row>
    <row r="45" spans="1:20" x14ac:dyDescent="0.2">
      <c r="A45" s="10" t="str">
        <f t="shared" si="12"/>
        <v/>
      </c>
      <c r="B45" s="3"/>
      <c r="C45" s="4" t="str">
        <f t="shared" si="13"/>
        <v/>
      </c>
      <c r="D45" s="3"/>
      <c r="E45" s="12"/>
      <c r="F45" s="12"/>
      <c r="G45" s="12"/>
      <c r="H45" s="12"/>
      <c r="I45" s="12"/>
      <c r="J45" s="12"/>
      <c r="K45" s="10" t="str">
        <f t="shared" si="14"/>
        <v/>
      </c>
      <c r="L45" s="10" t="str">
        <f t="shared" si="15"/>
        <v/>
      </c>
      <c r="M45" s="10" t="str">
        <f t="shared" si="16"/>
        <v/>
      </c>
      <c r="N45" s="10" t="str">
        <f t="shared" si="17"/>
        <v/>
      </c>
      <c r="O45" s="10" t="str">
        <f t="shared" si="18"/>
        <v/>
      </c>
      <c r="P45" s="10" t="str">
        <f t="shared" si="19"/>
        <v/>
      </c>
      <c r="Q45" s="10" t="str">
        <f t="shared" si="20"/>
        <v/>
      </c>
      <c r="R45" s="10" t="str">
        <f t="shared" si="21"/>
        <v/>
      </c>
      <c r="S45" s="10" t="str">
        <f t="shared" si="22"/>
        <v/>
      </c>
      <c r="T45" s="10" t="str">
        <f t="shared" si="23"/>
        <v/>
      </c>
    </row>
    <row r="46" spans="1:20" x14ac:dyDescent="0.2">
      <c r="A46" s="10" t="str">
        <f t="shared" si="12"/>
        <v/>
      </c>
      <c r="B46" s="3"/>
      <c r="C46" s="4" t="str">
        <f t="shared" si="13"/>
        <v/>
      </c>
      <c r="D46" s="3"/>
      <c r="E46" s="12"/>
      <c r="F46" s="12"/>
      <c r="G46" s="12"/>
      <c r="H46" s="12"/>
      <c r="I46" s="12"/>
      <c r="J46" s="12"/>
      <c r="K46" s="10" t="str">
        <f t="shared" si="14"/>
        <v/>
      </c>
      <c r="L46" s="10" t="str">
        <f t="shared" si="15"/>
        <v/>
      </c>
      <c r="M46" s="10" t="str">
        <f t="shared" si="16"/>
        <v/>
      </c>
      <c r="N46" s="10" t="str">
        <f t="shared" si="17"/>
        <v/>
      </c>
      <c r="O46" s="10" t="str">
        <f t="shared" si="18"/>
        <v/>
      </c>
      <c r="P46" s="10" t="str">
        <f t="shared" si="19"/>
        <v/>
      </c>
      <c r="Q46" s="10" t="str">
        <f t="shared" si="20"/>
        <v/>
      </c>
      <c r="R46" s="10" t="str">
        <f t="shared" si="21"/>
        <v/>
      </c>
      <c r="S46" s="10" t="str">
        <f t="shared" si="22"/>
        <v/>
      </c>
      <c r="T46" s="10" t="str">
        <f t="shared" si="23"/>
        <v/>
      </c>
    </row>
    <row r="47" spans="1:20" x14ac:dyDescent="0.2">
      <c r="A47" s="10" t="str">
        <f t="shared" si="12"/>
        <v/>
      </c>
      <c r="B47" s="3"/>
      <c r="C47" s="4" t="str">
        <f t="shared" si="13"/>
        <v/>
      </c>
      <c r="D47" s="3"/>
      <c r="E47" s="12"/>
      <c r="F47" s="12"/>
      <c r="G47" s="12"/>
      <c r="H47" s="12"/>
      <c r="I47" s="12"/>
      <c r="J47" s="12"/>
      <c r="K47" s="10" t="str">
        <f t="shared" si="14"/>
        <v/>
      </c>
      <c r="L47" s="10" t="str">
        <f t="shared" si="15"/>
        <v/>
      </c>
      <c r="M47" s="10" t="str">
        <f t="shared" si="16"/>
        <v/>
      </c>
      <c r="N47" s="10" t="str">
        <f t="shared" si="17"/>
        <v/>
      </c>
      <c r="O47" s="10" t="str">
        <f t="shared" si="18"/>
        <v/>
      </c>
      <c r="P47" s="10" t="str">
        <f t="shared" si="19"/>
        <v/>
      </c>
      <c r="Q47" s="10" t="str">
        <f t="shared" si="20"/>
        <v/>
      </c>
      <c r="R47" s="10" t="str">
        <f t="shared" si="21"/>
        <v/>
      </c>
      <c r="S47" s="10" t="str">
        <f t="shared" si="22"/>
        <v/>
      </c>
      <c r="T47" s="10" t="str">
        <f t="shared" si="23"/>
        <v/>
      </c>
    </row>
    <row r="48" spans="1:20" x14ac:dyDescent="0.2">
      <c r="A48" s="10" t="str">
        <f t="shared" si="12"/>
        <v/>
      </c>
      <c r="B48" s="3"/>
      <c r="C48" s="4" t="str">
        <f t="shared" si="13"/>
        <v/>
      </c>
      <c r="D48" s="3"/>
      <c r="E48" s="12"/>
      <c r="F48" s="12"/>
      <c r="G48" s="12"/>
      <c r="H48" s="12"/>
      <c r="I48" s="12"/>
      <c r="J48" s="12"/>
      <c r="K48" s="10" t="str">
        <f t="shared" si="14"/>
        <v/>
      </c>
      <c r="L48" s="10" t="str">
        <f t="shared" si="15"/>
        <v/>
      </c>
      <c r="M48" s="10" t="str">
        <f t="shared" si="16"/>
        <v/>
      </c>
      <c r="N48" s="10" t="str">
        <f t="shared" si="17"/>
        <v/>
      </c>
      <c r="O48" s="10" t="str">
        <f t="shared" si="18"/>
        <v/>
      </c>
      <c r="P48" s="10" t="str">
        <f t="shared" si="19"/>
        <v/>
      </c>
      <c r="Q48" s="10" t="str">
        <f t="shared" si="20"/>
        <v/>
      </c>
      <c r="R48" s="10" t="str">
        <f t="shared" si="21"/>
        <v/>
      </c>
      <c r="S48" s="10" t="str">
        <f t="shared" si="22"/>
        <v/>
      </c>
      <c r="T48" s="10" t="str">
        <f t="shared" si="23"/>
        <v/>
      </c>
    </row>
    <row r="49" spans="1:20" x14ac:dyDescent="0.2">
      <c r="A49" s="10" t="str">
        <f t="shared" si="12"/>
        <v/>
      </c>
      <c r="B49" s="3"/>
      <c r="C49" s="4" t="str">
        <f t="shared" si="13"/>
        <v/>
      </c>
      <c r="D49" s="3"/>
      <c r="E49" s="12"/>
      <c r="F49" s="12"/>
      <c r="G49" s="12"/>
      <c r="H49" s="12"/>
      <c r="I49" s="12"/>
      <c r="J49" s="12"/>
      <c r="K49" s="10" t="str">
        <f t="shared" si="14"/>
        <v/>
      </c>
      <c r="L49" s="10" t="str">
        <f t="shared" si="15"/>
        <v/>
      </c>
      <c r="M49" s="10" t="str">
        <f t="shared" si="16"/>
        <v/>
      </c>
      <c r="N49" s="10" t="str">
        <f t="shared" si="17"/>
        <v/>
      </c>
      <c r="O49" s="10" t="str">
        <f t="shared" si="18"/>
        <v/>
      </c>
      <c r="P49" s="10" t="str">
        <f t="shared" si="19"/>
        <v/>
      </c>
      <c r="Q49" s="10" t="str">
        <f t="shared" si="20"/>
        <v/>
      </c>
      <c r="R49" s="10" t="str">
        <f t="shared" si="21"/>
        <v/>
      </c>
      <c r="S49" s="10" t="str">
        <f t="shared" si="22"/>
        <v/>
      </c>
      <c r="T49" s="10" t="str">
        <f t="shared" si="23"/>
        <v/>
      </c>
    </row>
    <row r="50" spans="1:20" x14ac:dyDescent="0.2">
      <c r="A50" s="10" t="str">
        <f t="shared" si="12"/>
        <v/>
      </c>
      <c r="B50" s="3"/>
      <c r="C50" s="4" t="str">
        <f t="shared" si="13"/>
        <v/>
      </c>
      <c r="D50" s="3"/>
      <c r="E50" s="12"/>
      <c r="F50" s="12"/>
      <c r="G50" s="12"/>
      <c r="H50" s="12"/>
      <c r="I50" s="12"/>
      <c r="J50" s="12"/>
      <c r="K50" s="10" t="str">
        <f t="shared" si="14"/>
        <v/>
      </c>
      <c r="L50" s="10" t="str">
        <f t="shared" si="15"/>
        <v/>
      </c>
      <c r="M50" s="10" t="str">
        <f t="shared" si="16"/>
        <v/>
      </c>
      <c r="N50" s="10" t="str">
        <f t="shared" si="17"/>
        <v/>
      </c>
      <c r="O50" s="10" t="str">
        <f t="shared" si="18"/>
        <v/>
      </c>
      <c r="P50" s="10" t="str">
        <f t="shared" si="19"/>
        <v/>
      </c>
      <c r="Q50" s="10" t="str">
        <f t="shared" si="20"/>
        <v/>
      </c>
      <c r="R50" s="10" t="str">
        <f t="shared" si="21"/>
        <v/>
      </c>
      <c r="S50" s="10" t="str">
        <f t="shared" si="22"/>
        <v/>
      </c>
      <c r="T50" s="10" t="str">
        <f t="shared" si="23"/>
        <v/>
      </c>
    </row>
    <row r="51" spans="1:20" x14ac:dyDescent="0.2">
      <c r="A51" s="10" t="str">
        <f t="shared" si="12"/>
        <v/>
      </c>
      <c r="B51" s="3"/>
      <c r="C51" s="4" t="str">
        <f t="shared" si="13"/>
        <v/>
      </c>
      <c r="D51" s="3"/>
      <c r="E51" s="12"/>
      <c r="F51" s="12"/>
      <c r="G51" s="12"/>
      <c r="H51" s="12"/>
      <c r="I51" s="12"/>
      <c r="J51" s="12"/>
      <c r="K51" s="10" t="str">
        <f t="shared" si="14"/>
        <v/>
      </c>
      <c r="L51" s="10" t="str">
        <f t="shared" si="15"/>
        <v/>
      </c>
      <c r="M51" s="10" t="str">
        <f t="shared" si="16"/>
        <v/>
      </c>
      <c r="N51" s="10" t="str">
        <f t="shared" si="17"/>
        <v/>
      </c>
      <c r="O51" s="10" t="str">
        <f t="shared" si="18"/>
        <v/>
      </c>
      <c r="P51" s="10" t="str">
        <f t="shared" si="19"/>
        <v/>
      </c>
      <c r="Q51" s="10" t="str">
        <f t="shared" si="20"/>
        <v/>
      </c>
      <c r="R51" s="10" t="str">
        <f t="shared" si="21"/>
        <v/>
      </c>
      <c r="S51" s="10" t="str">
        <f t="shared" si="22"/>
        <v/>
      </c>
      <c r="T51" s="10" t="str">
        <f t="shared" si="23"/>
        <v/>
      </c>
    </row>
    <row r="52" spans="1:20" x14ac:dyDescent="0.2">
      <c r="A52" s="10" t="str">
        <f t="shared" si="12"/>
        <v/>
      </c>
      <c r="B52" s="3"/>
      <c r="C52" s="4" t="str">
        <f t="shared" si="13"/>
        <v/>
      </c>
      <c r="D52" s="3"/>
      <c r="E52" s="12"/>
      <c r="F52" s="12"/>
      <c r="G52" s="12"/>
      <c r="H52" s="12"/>
      <c r="I52" s="12"/>
      <c r="J52" s="12"/>
      <c r="K52" s="10" t="str">
        <f t="shared" si="14"/>
        <v/>
      </c>
      <c r="L52" s="10" t="str">
        <f t="shared" si="15"/>
        <v/>
      </c>
      <c r="M52" s="10" t="str">
        <f t="shared" si="16"/>
        <v/>
      </c>
      <c r="N52" s="10" t="str">
        <f t="shared" si="17"/>
        <v/>
      </c>
      <c r="O52" s="10" t="str">
        <f t="shared" si="18"/>
        <v/>
      </c>
      <c r="P52" s="10" t="str">
        <f t="shared" si="19"/>
        <v/>
      </c>
      <c r="Q52" s="10" t="str">
        <f t="shared" si="20"/>
        <v/>
      </c>
      <c r="R52" s="10" t="str">
        <f t="shared" si="21"/>
        <v/>
      </c>
      <c r="S52" s="10" t="str">
        <f t="shared" si="22"/>
        <v/>
      </c>
      <c r="T52" s="10" t="str">
        <f t="shared" si="23"/>
        <v/>
      </c>
    </row>
    <row r="53" spans="1:20" x14ac:dyDescent="0.2">
      <c r="A53" s="10" t="str">
        <f t="shared" si="12"/>
        <v/>
      </c>
      <c r="B53" s="3"/>
      <c r="C53" s="4" t="str">
        <f t="shared" si="13"/>
        <v/>
      </c>
      <c r="D53" s="3"/>
      <c r="E53" s="12"/>
      <c r="F53" s="12"/>
      <c r="G53" s="12"/>
      <c r="H53" s="12"/>
      <c r="I53" s="12"/>
      <c r="J53" s="12"/>
      <c r="K53" s="10" t="str">
        <f t="shared" si="14"/>
        <v/>
      </c>
      <c r="L53" s="10" t="str">
        <f t="shared" si="15"/>
        <v/>
      </c>
      <c r="M53" s="10" t="str">
        <f t="shared" si="16"/>
        <v/>
      </c>
      <c r="N53" s="10" t="str">
        <f t="shared" si="17"/>
        <v/>
      </c>
      <c r="O53" s="10" t="str">
        <f t="shared" si="18"/>
        <v/>
      </c>
      <c r="P53" s="10" t="str">
        <f t="shared" si="19"/>
        <v/>
      </c>
      <c r="Q53" s="10" t="str">
        <f t="shared" si="20"/>
        <v/>
      </c>
      <c r="R53" s="10" t="str">
        <f t="shared" si="21"/>
        <v/>
      </c>
      <c r="S53" s="10" t="str">
        <f t="shared" si="22"/>
        <v/>
      </c>
      <c r="T53" s="10" t="str">
        <f t="shared" si="23"/>
        <v/>
      </c>
    </row>
    <row r="54" spans="1:20" x14ac:dyDescent="0.2">
      <c r="A54" s="10" t="str">
        <f t="shared" si="12"/>
        <v/>
      </c>
      <c r="B54" s="3"/>
      <c r="C54" s="4" t="str">
        <f t="shared" si="13"/>
        <v/>
      </c>
      <c r="D54" s="3"/>
      <c r="E54" s="12"/>
      <c r="F54" s="12"/>
      <c r="G54" s="12"/>
      <c r="H54" s="12"/>
      <c r="I54" s="12"/>
      <c r="J54" s="12"/>
      <c r="K54" s="10" t="str">
        <f t="shared" si="14"/>
        <v/>
      </c>
      <c r="L54" s="10" t="str">
        <f t="shared" si="15"/>
        <v/>
      </c>
      <c r="M54" s="10" t="str">
        <f t="shared" si="16"/>
        <v/>
      </c>
      <c r="N54" s="10" t="str">
        <f t="shared" si="17"/>
        <v/>
      </c>
      <c r="O54" s="10" t="str">
        <f t="shared" si="18"/>
        <v/>
      </c>
      <c r="P54" s="10" t="str">
        <f t="shared" si="19"/>
        <v/>
      </c>
      <c r="Q54" s="10" t="str">
        <f t="shared" si="20"/>
        <v/>
      </c>
      <c r="R54" s="10" t="str">
        <f t="shared" si="21"/>
        <v/>
      </c>
      <c r="S54" s="10" t="str">
        <f t="shared" si="22"/>
        <v/>
      </c>
      <c r="T54" s="10" t="str">
        <f t="shared" si="23"/>
        <v/>
      </c>
    </row>
    <row r="55" spans="1:20" x14ac:dyDescent="0.2">
      <c r="A55" s="10" t="str">
        <f t="shared" si="12"/>
        <v/>
      </c>
      <c r="B55" s="3"/>
      <c r="C55" s="4" t="str">
        <f t="shared" si="13"/>
        <v/>
      </c>
      <c r="D55" s="3"/>
      <c r="E55" s="12"/>
      <c r="F55" s="12"/>
      <c r="G55" s="12"/>
      <c r="H55" s="12"/>
      <c r="I55" s="12"/>
      <c r="J55" s="12"/>
      <c r="K55" s="10" t="str">
        <f t="shared" si="14"/>
        <v/>
      </c>
      <c r="L55" s="10" t="str">
        <f t="shared" si="15"/>
        <v/>
      </c>
      <c r="M55" s="10" t="str">
        <f t="shared" si="16"/>
        <v/>
      </c>
      <c r="N55" s="10" t="str">
        <f t="shared" si="17"/>
        <v/>
      </c>
      <c r="O55" s="10" t="str">
        <f t="shared" si="18"/>
        <v/>
      </c>
      <c r="P55" s="10" t="str">
        <f t="shared" si="19"/>
        <v/>
      </c>
      <c r="Q55" s="10" t="str">
        <f t="shared" si="20"/>
        <v/>
      </c>
      <c r="R55" s="10" t="str">
        <f t="shared" si="21"/>
        <v/>
      </c>
      <c r="S55" s="10" t="str">
        <f t="shared" si="22"/>
        <v/>
      </c>
      <c r="T55" s="10" t="str">
        <f t="shared" si="23"/>
        <v/>
      </c>
    </row>
    <row r="56" spans="1:20" x14ac:dyDescent="0.2">
      <c r="A56" s="10" t="str">
        <f t="shared" si="12"/>
        <v/>
      </c>
      <c r="B56" s="3"/>
      <c r="C56" s="4" t="str">
        <f t="shared" si="13"/>
        <v/>
      </c>
      <c r="D56" s="3"/>
      <c r="E56" s="12"/>
      <c r="F56" s="12"/>
      <c r="G56" s="12"/>
      <c r="H56" s="12"/>
      <c r="I56" s="12"/>
      <c r="J56" s="12"/>
      <c r="K56" s="10" t="str">
        <f t="shared" si="14"/>
        <v/>
      </c>
      <c r="L56" s="10" t="str">
        <f t="shared" si="15"/>
        <v/>
      </c>
      <c r="M56" s="10" t="str">
        <f t="shared" si="16"/>
        <v/>
      </c>
      <c r="N56" s="10" t="str">
        <f t="shared" si="17"/>
        <v/>
      </c>
      <c r="O56" s="10" t="str">
        <f t="shared" si="18"/>
        <v/>
      </c>
      <c r="P56" s="10" t="str">
        <f t="shared" si="19"/>
        <v/>
      </c>
      <c r="Q56" s="10" t="str">
        <f t="shared" si="20"/>
        <v/>
      </c>
      <c r="R56" s="10" t="str">
        <f t="shared" si="21"/>
        <v/>
      </c>
      <c r="S56" s="10" t="str">
        <f t="shared" si="22"/>
        <v/>
      </c>
      <c r="T56" s="10" t="str">
        <f t="shared" si="23"/>
        <v/>
      </c>
    </row>
    <row r="57" spans="1:20" x14ac:dyDescent="0.2">
      <c r="A57" s="10" t="str">
        <f t="shared" si="12"/>
        <v/>
      </c>
      <c r="B57" s="3"/>
      <c r="C57" s="4" t="str">
        <f t="shared" si="13"/>
        <v/>
      </c>
      <c r="D57" s="3"/>
      <c r="E57" s="12"/>
      <c r="F57" s="12"/>
      <c r="G57" s="12"/>
      <c r="H57" s="12"/>
      <c r="I57" s="12"/>
      <c r="J57" s="12"/>
      <c r="K57" s="10" t="str">
        <f t="shared" si="14"/>
        <v/>
      </c>
      <c r="L57" s="10" t="str">
        <f t="shared" si="15"/>
        <v/>
      </c>
      <c r="M57" s="10" t="str">
        <f t="shared" si="16"/>
        <v/>
      </c>
      <c r="N57" s="10" t="str">
        <f t="shared" si="17"/>
        <v/>
      </c>
      <c r="O57" s="10" t="str">
        <f t="shared" si="18"/>
        <v/>
      </c>
      <c r="P57" s="10" t="str">
        <f t="shared" si="19"/>
        <v/>
      </c>
      <c r="Q57" s="10" t="str">
        <f t="shared" si="20"/>
        <v/>
      </c>
      <c r="R57" s="10" t="str">
        <f t="shared" si="21"/>
        <v/>
      </c>
      <c r="S57" s="10" t="str">
        <f t="shared" si="22"/>
        <v/>
      </c>
      <c r="T57" s="10" t="str">
        <f t="shared" si="23"/>
        <v/>
      </c>
    </row>
    <row r="58" spans="1:20" x14ac:dyDescent="0.2">
      <c r="A58" s="10" t="str">
        <f t="shared" si="12"/>
        <v/>
      </c>
      <c r="B58" s="3"/>
      <c r="C58" s="4" t="str">
        <f t="shared" si="13"/>
        <v/>
      </c>
      <c r="D58" s="3"/>
      <c r="E58" s="12"/>
      <c r="F58" s="12"/>
      <c r="G58" s="12"/>
      <c r="H58" s="12"/>
      <c r="I58" s="12"/>
      <c r="J58" s="12"/>
      <c r="K58" s="10" t="str">
        <f t="shared" si="14"/>
        <v/>
      </c>
      <c r="L58" s="10" t="str">
        <f t="shared" si="15"/>
        <v/>
      </c>
      <c r="M58" s="10" t="str">
        <f t="shared" si="16"/>
        <v/>
      </c>
      <c r="N58" s="10" t="str">
        <f t="shared" si="17"/>
        <v/>
      </c>
      <c r="O58" s="10" t="str">
        <f t="shared" si="18"/>
        <v/>
      </c>
      <c r="P58" s="10" t="str">
        <f t="shared" si="19"/>
        <v/>
      </c>
      <c r="Q58" s="10" t="str">
        <f t="shared" si="20"/>
        <v/>
      </c>
      <c r="R58" s="10" t="str">
        <f t="shared" si="21"/>
        <v/>
      </c>
      <c r="S58" s="10" t="str">
        <f t="shared" si="22"/>
        <v/>
      </c>
      <c r="T58" s="10" t="str">
        <f t="shared" si="23"/>
        <v/>
      </c>
    </row>
    <row r="59" spans="1:20" x14ac:dyDescent="0.2">
      <c r="A59" s="10" t="str">
        <f t="shared" si="12"/>
        <v/>
      </c>
      <c r="B59" s="3"/>
      <c r="C59" s="4" t="str">
        <f t="shared" si="13"/>
        <v/>
      </c>
      <c r="D59" s="3"/>
      <c r="E59" s="12"/>
      <c r="F59" s="12"/>
      <c r="G59" s="12"/>
      <c r="H59" s="12"/>
      <c r="I59" s="12"/>
      <c r="J59" s="12"/>
      <c r="K59" s="10" t="str">
        <f t="shared" si="14"/>
        <v/>
      </c>
      <c r="L59" s="10" t="str">
        <f t="shared" si="15"/>
        <v/>
      </c>
      <c r="M59" s="10" t="str">
        <f t="shared" si="16"/>
        <v/>
      </c>
      <c r="N59" s="10" t="str">
        <f t="shared" si="17"/>
        <v/>
      </c>
      <c r="O59" s="10" t="str">
        <f t="shared" si="18"/>
        <v/>
      </c>
      <c r="P59" s="10" t="str">
        <f t="shared" si="19"/>
        <v/>
      </c>
      <c r="Q59" s="10" t="str">
        <f t="shared" si="20"/>
        <v/>
      </c>
      <c r="R59" s="10" t="str">
        <f t="shared" si="21"/>
        <v/>
      </c>
      <c r="S59" s="10" t="str">
        <f t="shared" si="22"/>
        <v/>
      </c>
      <c r="T59" s="10" t="str">
        <f t="shared" si="23"/>
        <v/>
      </c>
    </row>
    <row r="60" spans="1:20" x14ac:dyDescent="0.2">
      <c r="A60" s="10" t="str">
        <f t="shared" si="12"/>
        <v/>
      </c>
      <c r="B60" s="3"/>
      <c r="C60" s="4" t="str">
        <f t="shared" si="13"/>
        <v/>
      </c>
      <c r="D60" s="3"/>
      <c r="E60" s="12"/>
      <c r="F60" s="12"/>
      <c r="G60" s="12"/>
      <c r="H60" s="12"/>
      <c r="I60" s="12"/>
      <c r="J60" s="12"/>
      <c r="K60" s="10" t="str">
        <f t="shared" si="14"/>
        <v/>
      </c>
      <c r="L60" s="10" t="str">
        <f t="shared" si="15"/>
        <v/>
      </c>
      <c r="M60" s="10" t="str">
        <f t="shared" si="16"/>
        <v/>
      </c>
      <c r="N60" s="10" t="str">
        <f t="shared" si="17"/>
        <v/>
      </c>
      <c r="O60" s="10" t="str">
        <f t="shared" si="18"/>
        <v/>
      </c>
      <c r="P60" s="10" t="str">
        <f t="shared" si="19"/>
        <v/>
      </c>
      <c r="Q60" s="10" t="str">
        <f t="shared" si="20"/>
        <v/>
      </c>
      <c r="R60" s="10" t="str">
        <f t="shared" si="21"/>
        <v/>
      </c>
      <c r="S60" s="10" t="str">
        <f t="shared" si="22"/>
        <v/>
      </c>
      <c r="T60" s="10" t="str">
        <f t="shared" si="23"/>
        <v/>
      </c>
    </row>
    <row r="61" spans="1:20" x14ac:dyDescent="0.2">
      <c r="A61" s="10" t="str">
        <f t="shared" si="12"/>
        <v/>
      </c>
      <c r="B61" s="3"/>
      <c r="C61" s="4" t="str">
        <f t="shared" si="13"/>
        <v/>
      </c>
      <c r="D61" s="3"/>
      <c r="E61" s="12"/>
      <c r="F61" s="12"/>
      <c r="G61" s="12"/>
      <c r="H61" s="12"/>
      <c r="I61" s="12"/>
      <c r="J61" s="12"/>
      <c r="K61" s="10" t="str">
        <f t="shared" si="14"/>
        <v/>
      </c>
      <c r="L61" s="10" t="str">
        <f t="shared" si="15"/>
        <v/>
      </c>
      <c r="M61" s="10" t="str">
        <f t="shared" si="16"/>
        <v/>
      </c>
      <c r="N61" s="10" t="str">
        <f t="shared" si="17"/>
        <v/>
      </c>
      <c r="O61" s="10" t="str">
        <f t="shared" si="18"/>
        <v/>
      </c>
      <c r="P61" s="10" t="str">
        <f t="shared" si="19"/>
        <v/>
      </c>
      <c r="Q61" s="10" t="str">
        <f t="shared" si="20"/>
        <v/>
      </c>
      <c r="R61" s="10" t="str">
        <f t="shared" si="21"/>
        <v/>
      </c>
      <c r="S61" s="10" t="str">
        <f t="shared" si="22"/>
        <v/>
      </c>
      <c r="T61" s="10" t="str">
        <f t="shared" si="23"/>
        <v/>
      </c>
    </row>
    <row r="62" spans="1:20" x14ac:dyDescent="0.2">
      <c r="A62" s="10" t="str">
        <f t="shared" si="12"/>
        <v/>
      </c>
      <c r="B62" s="3"/>
      <c r="C62" s="4" t="str">
        <f t="shared" si="13"/>
        <v/>
      </c>
      <c r="D62" s="3"/>
      <c r="E62" s="12"/>
      <c r="F62" s="12"/>
      <c r="G62" s="12"/>
      <c r="H62" s="12"/>
      <c r="I62" s="12"/>
      <c r="J62" s="12"/>
      <c r="K62" s="10" t="str">
        <f t="shared" si="14"/>
        <v/>
      </c>
      <c r="L62" s="10" t="str">
        <f t="shared" si="15"/>
        <v/>
      </c>
      <c r="M62" s="10" t="str">
        <f t="shared" si="16"/>
        <v/>
      </c>
      <c r="N62" s="10" t="str">
        <f t="shared" si="17"/>
        <v/>
      </c>
      <c r="O62" s="10" t="str">
        <f t="shared" si="18"/>
        <v/>
      </c>
      <c r="P62" s="10" t="str">
        <f t="shared" si="19"/>
        <v/>
      </c>
      <c r="Q62" s="10" t="str">
        <f t="shared" si="20"/>
        <v/>
      </c>
      <c r="R62" s="10" t="str">
        <f t="shared" si="21"/>
        <v/>
      </c>
      <c r="S62" s="10" t="str">
        <f t="shared" si="22"/>
        <v/>
      </c>
      <c r="T62" s="10" t="str">
        <f t="shared" si="23"/>
        <v/>
      </c>
    </row>
    <row r="63" spans="1:20" x14ac:dyDescent="0.2">
      <c r="A63" s="10" t="str">
        <f t="shared" si="12"/>
        <v/>
      </c>
      <c r="B63" s="3"/>
      <c r="C63" s="4" t="str">
        <f t="shared" si="13"/>
        <v/>
      </c>
      <c r="D63" s="3"/>
      <c r="E63" s="12"/>
      <c r="F63" s="12"/>
      <c r="G63" s="12"/>
      <c r="H63" s="12"/>
      <c r="I63" s="12"/>
      <c r="J63" s="12"/>
      <c r="K63" s="10" t="str">
        <f t="shared" si="14"/>
        <v/>
      </c>
      <c r="L63" s="10" t="str">
        <f t="shared" si="15"/>
        <v/>
      </c>
      <c r="M63" s="10" t="str">
        <f t="shared" si="16"/>
        <v/>
      </c>
      <c r="N63" s="10" t="str">
        <f t="shared" si="17"/>
        <v/>
      </c>
      <c r="O63" s="10" t="str">
        <f t="shared" si="18"/>
        <v/>
      </c>
      <c r="P63" s="10" t="str">
        <f t="shared" si="19"/>
        <v/>
      </c>
      <c r="Q63" s="10" t="str">
        <f t="shared" si="20"/>
        <v/>
      </c>
      <c r="R63" s="10" t="str">
        <f t="shared" si="21"/>
        <v/>
      </c>
      <c r="S63" s="10" t="str">
        <f t="shared" si="22"/>
        <v/>
      </c>
      <c r="T63" s="10" t="str">
        <f t="shared" si="23"/>
        <v/>
      </c>
    </row>
    <row r="64" spans="1:20" x14ac:dyDescent="0.2">
      <c r="A64" s="10" t="str">
        <f t="shared" si="12"/>
        <v/>
      </c>
      <c r="B64" s="3"/>
      <c r="C64" s="4" t="str">
        <f t="shared" si="13"/>
        <v/>
      </c>
      <c r="D64" s="3"/>
      <c r="E64" s="12"/>
      <c r="F64" s="12"/>
      <c r="G64" s="12"/>
      <c r="H64" s="12"/>
      <c r="I64" s="12"/>
      <c r="J64" s="12"/>
      <c r="K64" s="10" t="str">
        <f t="shared" si="14"/>
        <v/>
      </c>
      <c r="L64" s="10" t="str">
        <f t="shared" si="15"/>
        <v/>
      </c>
      <c r="M64" s="10" t="str">
        <f t="shared" si="16"/>
        <v/>
      </c>
      <c r="N64" s="10" t="str">
        <f t="shared" si="17"/>
        <v/>
      </c>
      <c r="O64" s="10" t="str">
        <f t="shared" si="18"/>
        <v/>
      </c>
      <c r="P64" s="10" t="str">
        <f t="shared" si="19"/>
        <v/>
      </c>
      <c r="Q64" s="10" t="str">
        <f t="shared" si="20"/>
        <v/>
      </c>
      <c r="R64" s="10" t="str">
        <f t="shared" si="21"/>
        <v/>
      </c>
      <c r="S64" s="10" t="str">
        <f t="shared" si="22"/>
        <v/>
      </c>
      <c r="T64" s="10" t="str">
        <f t="shared" si="23"/>
        <v/>
      </c>
    </row>
    <row r="65" spans="1:20" x14ac:dyDescent="0.2">
      <c r="A65" s="10" t="str">
        <f t="shared" si="12"/>
        <v/>
      </c>
      <c r="B65" s="3"/>
      <c r="C65" s="4" t="str">
        <f t="shared" si="13"/>
        <v/>
      </c>
      <c r="D65" s="3"/>
      <c r="E65" s="12"/>
      <c r="F65" s="12"/>
      <c r="G65" s="12"/>
      <c r="H65" s="12"/>
      <c r="I65" s="12"/>
      <c r="J65" s="12"/>
      <c r="K65" s="10" t="str">
        <f t="shared" si="14"/>
        <v/>
      </c>
      <c r="L65" s="10" t="str">
        <f t="shared" si="15"/>
        <v/>
      </c>
      <c r="M65" s="10" t="str">
        <f t="shared" si="16"/>
        <v/>
      </c>
      <c r="N65" s="10" t="str">
        <f t="shared" si="17"/>
        <v/>
      </c>
      <c r="O65" s="10" t="str">
        <f t="shared" si="18"/>
        <v/>
      </c>
      <c r="P65" s="10" t="str">
        <f t="shared" si="19"/>
        <v/>
      </c>
      <c r="Q65" s="10" t="str">
        <f t="shared" si="20"/>
        <v/>
      </c>
      <c r="R65" s="10" t="str">
        <f t="shared" si="21"/>
        <v/>
      </c>
      <c r="S65" s="10" t="str">
        <f t="shared" si="22"/>
        <v/>
      </c>
      <c r="T65" s="10" t="str">
        <f t="shared" si="23"/>
        <v/>
      </c>
    </row>
    <row r="66" spans="1:20" x14ac:dyDescent="0.2">
      <c r="A66" s="10" t="str">
        <f t="shared" si="12"/>
        <v/>
      </c>
      <c r="B66" s="3"/>
      <c r="C66" s="4" t="str">
        <f t="shared" si="13"/>
        <v/>
      </c>
      <c r="D66" s="3"/>
      <c r="E66" s="12"/>
      <c r="F66" s="12"/>
      <c r="G66" s="12"/>
      <c r="H66" s="12"/>
      <c r="I66" s="12"/>
      <c r="J66" s="12"/>
      <c r="K66" s="10" t="str">
        <f t="shared" si="14"/>
        <v/>
      </c>
      <c r="L66" s="10" t="str">
        <f t="shared" si="15"/>
        <v/>
      </c>
      <c r="M66" s="10" t="str">
        <f t="shared" si="16"/>
        <v/>
      </c>
      <c r="N66" s="10" t="str">
        <f t="shared" si="17"/>
        <v/>
      </c>
      <c r="O66" s="10" t="str">
        <f t="shared" si="18"/>
        <v/>
      </c>
      <c r="P66" s="10" t="str">
        <f t="shared" si="19"/>
        <v/>
      </c>
      <c r="Q66" s="10" t="str">
        <f t="shared" si="20"/>
        <v/>
      </c>
      <c r="R66" s="10" t="str">
        <f t="shared" si="21"/>
        <v/>
      </c>
      <c r="S66" s="10" t="str">
        <f t="shared" si="22"/>
        <v/>
      </c>
      <c r="T66" s="10" t="str">
        <f t="shared" si="23"/>
        <v/>
      </c>
    </row>
    <row r="67" spans="1:20" x14ac:dyDescent="0.2">
      <c r="A67" s="10" t="str">
        <f t="shared" si="12"/>
        <v/>
      </c>
      <c r="B67" s="3"/>
      <c r="C67" s="4" t="str">
        <f t="shared" si="13"/>
        <v/>
      </c>
      <c r="D67" s="3"/>
      <c r="E67" s="12"/>
      <c r="F67" s="12"/>
      <c r="G67" s="12"/>
      <c r="H67" s="12"/>
      <c r="I67" s="12"/>
      <c r="J67" s="12"/>
      <c r="K67" s="10" t="str">
        <f t="shared" si="14"/>
        <v/>
      </c>
      <c r="L67" s="10" t="str">
        <f t="shared" si="15"/>
        <v/>
      </c>
      <c r="M67" s="10" t="str">
        <f t="shared" si="16"/>
        <v/>
      </c>
      <c r="N67" s="10" t="str">
        <f t="shared" si="17"/>
        <v/>
      </c>
      <c r="O67" s="10" t="str">
        <f t="shared" si="18"/>
        <v/>
      </c>
      <c r="P67" s="10" t="str">
        <f t="shared" si="19"/>
        <v/>
      </c>
      <c r="Q67" s="10" t="str">
        <f t="shared" si="20"/>
        <v/>
      </c>
      <c r="R67" s="10" t="str">
        <f t="shared" si="21"/>
        <v/>
      </c>
      <c r="S67" s="10" t="str">
        <f t="shared" si="22"/>
        <v/>
      </c>
      <c r="T67" s="10" t="str">
        <f t="shared" si="23"/>
        <v/>
      </c>
    </row>
    <row r="68" spans="1:20" x14ac:dyDescent="0.2">
      <c r="A68" s="10" t="str">
        <f t="shared" si="12"/>
        <v/>
      </c>
      <c r="B68" s="3"/>
      <c r="C68" s="4" t="str">
        <f t="shared" si="13"/>
        <v/>
      </c>
      <c r="D68" s="3"/>
      <c r="E68" s="12"/>
      <c r="F68" s="12"/>
      <c r="G68" s="12"/>
      <c r="H68" s="12"/>
      <c r="I68" s="12"/>
      <c r="J68" s="12"/>
      <c r="K68" s="10" t="str">
        <f t="shared" si="14"/>
        <v/>
      </c>
      <c r="L68" s="10" t="str">
        <f t="shared" si="15"/>
        <v/>
      </c>
      <c r="M68" s="10" t="str">
        <f t="shared" si="16"/>
        <v/>
      </c>
      <c r="N68" s="10" t="str">
        <f t="shared" si="17"/>
        <v/>
      </c>
      <c r="O68" s="10" t="str">
        <f t="shared" si="18"/>
        <v/>
      </c>
      <c r="P68" s="10" t="str">
        <f t="shared" si="19"/>
        <v/>
      </c>
      <c r="Q68" s="10" t="str">
        <f t="shared" si="20"/>
        <v/>
      </c>
      <c r="R68" s="10" t="str">
        <f t="shared" si="21"/>
        <v/>
      </c>
      <c r="S68" s="10" t="str">
        <f t="shared" si="22"/>
        <v/>
      </c>
      <c r="T68" s="10" t="str">
        <f t="shared" si="23"/>
        <v/>
      </c>
    </row>
    <row r="69" spans="1:20" x14ac:dyDescent="0.2">
      <c r="A69" s="10" t="str">
        <f t="shared" si="12"/>
        <v/>
      </c>
      <c r="B69" s="3"/>
      <c r="C69" s="4" t="str">
        <f t="shared" si="13"/>
        <v/>
      </c>
      <c r="D69" s="3"/>
      <c r="E69" s="12"/>
      <c r="F69" s="12"/>
      <c r="G69" s="12"/>
      <c r="H69" s="12"/>
      <c r="I69" s="12"/>
      <c r="J69" s="12"/>
      <c r="K69" s="10" t="str">
        <f t="shared" si="14"/>
        <v/>
      </c>
      <c r="L69" s="10" t="str">
        <f t="shared" si="15"/>
        <v/>
      </c>
      <c r="M69" s="10" t="str">
        <f t="shared" si="16"/>
        <v/>
      </c>
      <c r="N69" s="10" t="str">
        <f t="shared" si="17"/>
        <v/>
      </c>
      <c r="O69" s="10" t="str">
        <f t="shared" si="18"/>
        <v/>
      </c>
      <c r="P69" s="10" t="str">
        <f t="shared" si="19"/>
        <v/>
      </c>
      <c r="Q69" s="10" t="str">
        <f t="shared" si="20"/>
        <v/>
      </c>
      <c r="R69" s="10" t="str">
        <f t="shared" si="21"/>
        <v/>
      </c>
      <c r="S69" s="10" t="str">
        <f t="shared" si="22"/>
        <v/>
      </c>
      <c r="T69" s="10" t="str">
        <f t="shared" si="23"/>
        <v/>
      </c>
    </row>
    <row r="70" spans="1:20" x14ac:dyDescent="0.2">
      <c r="A70" s="10" t="str">
        <f t="shared" ref="A70:A101" si="24">IF(ISTEXT(B70),startNum + ROW() - 6,"")</f>
        <v/>
      </c>
      <c r="B70" s="3"/>
      <c r="C70" s="4" t="str">
        <f t="shared" ref="C70:C101" si="25">IF(ISTEXT(B70),club,"")</f>
        <v/>
      </c>
      <c r="D70" s="3"/>
      <c r="E70" s="12"/>
      <c r="F70" s="12"/>
      <c r="G70" s="12"/>
      <c r="H70" s="12"/>
      <c r="I70" s="12"/>
      <c r="J70" s="12"/>
      <c r="K70" s="10" t="str">
        <f t="shared" ref="K70:K105" si="26">IF(ISBLANK(D70),"",IF(ISBLANK(F70),"",IF(D70="Girls 6 &amp; Under",G8ANDU,IF(D70="Girls 7 &amp; 8", G8ANDU, IF(D70="Boys 6 &amp; Under",B8ANDU,IF(D70="Boys 7 &amp; 8",B8ANDU,VLOOKUP(D70,IMEvents,2,FALSE)))))))</f>
        <v/>
      </c>
      <c r="L70" s="10" t="str">
        <f t="shared" ref="L70:L101" si="27">IF(ISBLANK(F70),"",VLOOKUP(K70,IMNos,2,FALSE))</f>
        <v/>
      </c>
      <c r="M70" s="10" t="str">
        <f t="shared" ref="M70:M105" si="28">IF(ISBLANK(D70),"",IF(ISBLANK(G70),"",VLOOKUP(D70,FreeEvents,2,FALSE)))</f>
        <v/>
      </c>
      <c r="N70" s="10" t="str">
        <f t="shared" ref="N70:N101" si="29">IF(ISBLANK(G70),"",VLOOKUP(M70,FreeNos,2,FALSE))</f>
        <v/>
      </c>
      <c r="O70" s="10" t="str">
        <f t="shared" ref="O70:O105" si="30">IF(ISBLANK(D70),"",IF(ISBLANK(H70),"",VLOOKUP(D70,BackEvents,2,FALSE)))</f>
        <v/>
      </c>
      <c r="P70" s="10" t="str">
        <f t="shared" ref="P70:P101" si="31">IF(ISBLANK(H70),"",VLOOKUP(O70,BackNos,2,FALSE))</f>
        <v/>
      </c>
      <c r="Q70" s="10" t="str">
        <f t="shared" ref="Q70:Q105" si="32">IF(ISBLANK(D70),"",IF(ISBLANK(I70),"",VLOOKUP(D70,FlyEvents,2,FALSE)))</f>
        <v/>
      </c>
      <c r="R70" s="10" t="str">
        <f t="shared" ref="R70:R101" si="33">IF(ISBLANK(I70),"",VLOOKUP(Q70,FlyNos,2,FALSE))</f>
        <v/>
      </c>
      <c r="S70" s="10" t="str">
        <f t="shared" ref="S70:S105" si="34">IF(ISBLANK(D70),"",IF(ISBLANK(J70),"",VLOOKUP(D70,BreastEvents,2,FALSE)))</f>
        <v/>
      </c>
      <c r="T70" s="10" t="str">
        <f t="shared" ref="T70:T101" si="35">IF(ISBLANK(J70),"",VLOOKUP(S70,BreastNos,2,FALSE))</f>
        <v/>
      </c>
    </row>
    <row r="71" spans="1:20" x14ac:dyDescent="0.2">
      <c r="A71" s="10" t="str">
        <f t="shared" si="24"/>
        <v/>
      </c>
      <c r="B71" s="3"/>
      <c r="C71" s="4" t="str">
        <f t="shared" si="25"/>
        <v/>
      </c>
      <c r="D71" s="3"/>
      <c r="E71" s="12"/>
      <c r="F71" s="12"/>
      <c r="G71" s="12"/>
      <c r="H71" s="12"/>
      <c r="I71" s="12"/>
      <c r="J71" s="12"/>
      <c r="K71" s="10" t="str">
        <f t="shared" si="26"/>
        <v/>
      </c>
      <c r="L71" s="10" t="str">
        <f t="shared" si="27"/>
        <v/>
      </c>
      <c r="M71" s="10" t="str">
        <f t="shared" si="28"/>
        <v/>
      </c>
      <c r="N71" s="10" t="str">
        <f t="shared" si="29"/>
        <v/>
      </c>
      <c r="O71" s="10" t="str">
        <f t="shared" si="30"/>
        <v/>
      </c>
      <c r="P71" s="10" t="str">
        <f t="shared" si="31"/>
        <v/>
      </c>
      <c r="Q71" s="10" t="str">
        <f t="shared" si="32"/>
        <v/>
      </c>
      <c r="R71" s="10" t="str">
        <f t="shared" si="33"/>
        <v/>
      </c>
      <c r="S71" s="10" t="str">
        <f t="shared" si="34"/>
        <v/>
      </c>
      <c r="T71" s="10" t="str">
        <f t="shared" si="35"/>
        <v/>
      </c>
    </row>
    <row r="72" spans="1:20" x14ac:dyDescent="0.2">
      <c r="A72" s="10" t="str">
        <f t="shared" si="24"/>
        <v/>
      </c>
      <c r="B72" s="3"/>
      <c r="C72" s="4" t="str">
        <f t="shared" si="25"/>
        <v/>
      </c>
      <c r="D72" s="3"/>
      <c r="E72" s="12"/>
      <c r="F72" s="12"/>
      <c r="G72" s="12"/>
      <c r="H72" s="12"/>
      <c r="I72" s="12"/>
      <c r="J72" s="12"/>
      <c r="K72" s="10" t="str">
        <f t="shared" si="26"/>
        <v/>
      </c>
      <c r="L72" s="10" t="str">
        <f t="shared" si="27"/>
        <v/>
      </c>
      <c r="M72" s="10" t="str">
        <f t="shared" si="28"/>
        <v/>
      </c>
      <c r="N72" s="10" t="str">
        <f t="shared" si="29"/>
        <v/>
      </c>
      <c r="O72" s="10" t="str">
        <f t="shared" si="30"/>
        <v/>
      </c>
      <c r="P72" s="10" t="str">
        <f t="shared" si="31"/>
        <v/>
      </c>
      <c r="Q72" s="10" t="str">
        <f t="shared" si="32"/>
        <v/>
      </c>
      <c r="R72" s="10" t="str">
        <f t="shared" si="33"/>
        <v/>
      </c>
      <c r="S72" s="10" t="str">
        <f t="shared" si="34"/>
        <v/>
      </c>
      <c r="T72" s="10" t="str">
        <f t="shared" si="35"/>
        <v/>
      </c>
    </row>
    <row r="73" spans="1:20" x14ac:dyDescent="0.2">
      <c r="A73" s="10" t="str">
        <f t="shared" si="24"/>
        <v/>
      </c>
      <c r="B73" s="3"/>
      <c r="C73" s="4" t="str">
        <f t="shared" si="25"/>
        <v/>
      </c>
      <c r="D73" s="3"/>
      <c r="E73" s="12"/>
      <c r="F73" s="12"/>
      <c r="G73" s="12"/>
      <c r="H73" s="12"/>
      <c r="I73" s="12"/>
      <c r="J73" s="12"/>
      <c r="K73" s="10" t="str">
        <f t="shared" si="26"/>
        <v/>
      </c>
      <c r="L73" s="10" t="str">
        <f t="shared" si="27"/>
        <v/>
      </c>
      <c r="M73" s="10" t="str">
        <f t="shared" si="28"/>
        <v/>
      </c>
      <c r="N73" s="10" t="str">
        <f t="shared" si="29"/>
        <v/>
      </c>
      <c r="O73" s="10" t="str">
        <f t="shared" si="30"/>
        <v/>
      </c>
      <c r="P73" s="10" t="str">
        <f t="shared" si="31"/>
        <v/>
      </c>
      <c r="Q73" s="10" t="str">
        <f t="shared" si="32"/>
        <v/>
      </c>
      <c r="R73" s="10" t="str">
        <f t="shared" si="33"/>
        <v/>
      </c>
      <c r="S73" s="10" t="str">
        <f t="shared" si="34"/>
        <v/>
      </c>
      <c r="T73" s="10" t="str">
        <f t="shared" si="35"/>
        <v/>
      </c>
    </row>
    <row r="74" spans="1:20" x14ac:dyDescent="0.2">
      <c r="A74" s="10" t="str">
        <f t="shared" si="24"/>
        <v/>
      </c>
      <c r="B74" s="3"/>
      <c r="C74" s="4" t="str">
        <f t="shared" si="25"/>
        <v/>
      </c>
      <c r="D74" s="3"/>
      <c r="E74" s="12"/>
      <c r="F74" s="12"/>
      <c r="G74" s="12"/>
      <c r="H74" s="12"/>
      <c r="I74" s="12"/>
      <c r="J74" s="12"/>
      <c r="K74" s="10" t="str">
        <f t="shared" si="26"/>
        <v/>
      </c>
      <c r="L74" s="10" t="str">
        <f t="shared" si="27"/>
        <v/>
      </c>
      <c r="M74" s="10" t="str">
        <f t="shared" si="28"/>
        <v/>
      </c>
      <c r="N74" s="10" t="str">
        <f t="shared" si="29"/>
        <v/>
      </c>
      <c r="O74" s="10" t="str">
        <f t="shared" si="30"/>
        <v/>
      </c>
      <c r="P74" s="10" t="str">
        <f t="shared" si="31"/>
        <v/>
      </c>
      <c r="Q74" s="10" t="str">
        <f t="shared" si="32"/>
        <v/>
      </c>
      <c r="R74" s="10" t="str">
        <f t="shared" si="33"/>
        <v/>
      </c>
      <c r="S74" s="10" t="str">
        <f t="shared" si="34"/>
        <v/>
      </c>
      <c r="T74" s="10" t="str">
        <f t="shared" si="35"/>
        <v/>
      </c>
    </row>
    <row r="75" spans="1:20" x14ac:dyDescent="0.2">
      <c r="A75" s="10" t="str">
        <f t="shared" si="24"/>
        <v/>
      </c>
      <c r="B75" s="3"/>
      <c r="C75" s="4" t="str">
        <f t="shared" si="25"/>
        <v/>
      </c>
      <c r="D75" s="3"/>
      <c r="E75" s="12"/>
      <c r="F75" s="12"/>
      <c r="G75" s="12"/>
      <c r="H75" s="12"/>
      <c r="I75" s="12"/>
      <c r="J75" s="12"/>
      <c r="K75" s="10" t="str">
        <f t="shared" si="26"/>
        <v/>
      </c>
      <c r="L75" s="10" t="str">
        <f t="shared" si="27"/>
        <v/>
      </c>
      <c r="M75" s="10" t="str">
        <f t="shared" si="28"/>
        <v/>
      </c>
      <c r="N75" s="10" t="str">
        <f t="shared" si="29"/>
        <v/>
      </c>
      <c r="O75" s="10" t="str">
        <f t="shared" si="30"/>
        <v/>
      </c>
      <c r="P75" s="10" t="str">
        <f t="shared" si="31"/>
        <v/>
      </c>
      <c r="Q75" s="10" t="str">
        <f t="shared" si="32"/>
        <v/>
      </c>
      <c r="R75" s="10" t="str">
        <f t="shared" si="33"/>
        <v/>
      </c>
      <c r="S75" s="10" t="str">
        <f t="shared" si="34"/>
        <v/>
      </c>
      <c r="T75" s="10" t="str">
        <f t="shared" si="35"/>
        <v/>
      </c>
    </row>
    <row r="76" spans="1:20" x14ac:dyDescent="0.2">
      <c r="A76" s="10" t="str">
        <f t="shared" si="24"/>
        <v/>
      </c>
      <c r="B76" s="3"/>
      <c r="C76" s="4" t="str">
        <f t="shared" si="25"/>
        <v/>
      </c>
      <c r="D76" s="3"/>
      <c r="E76" s="12"/>
      <c r="F76" s="12"/>
      <c r="G76" s="12"/>
      <c r="H76" s="12"/>
      <c r="I76" s="12"/>
      <c r="J76" s="12"/>
      <c r="K76" s="10" t="str">
        <f t="shared" si="26"/>
        <v/>
      </c>
      <c r="L76" s="10" t="str">
        <f t="shared" si="27"/>
        <v/>
      </c>
      <c r="M76" s="10" t="str">
        <f t="shared" si="28"/>
        <v/>
      </c>
      <c r="N76" s="10" t="str">
        <f t="shared" si="29"/>
        <v/>
      </c>
      <c r="O76" s="10" t="str">
        <f t="shared" si="30"/>
        <v/>
      </c>
      <c r="P76" s="10" t="str">
        <f t="shared" si="31"/>
        <v/>
      </c>
      <c r="Q76" s="10" t="str">
        <f t="shared" si="32"/>
        <v/>
      </c>
      <c r="R76" s="10" t="str">
        <f t="shared" si="33"/>
        <v/>
      </c>
      <c r="S76" s="10" t="str">
        <f t="shared" si="34"/>
        <v/>
      </c>
      <c r="T76" s="10" t="str">
        <f t="shared" si="35"/>
        <v/>
      </c>
    </row>
    <row r="77" spans="1:20" x14ac:dyDescent="0.2">
      <c r="A77" s="10" t="str">
        <f t="shared" si="24"/>
        <v/>
      </c>
      <c r="B77" s="3"/>
      <c r="C77" s="4" t="str">
        <f t="shared" si="25"/>
        <v/>
      </c>
      <c r="D77" s="3"/>
      <c r="E77" s="12"/>
      <c r="F77" s="12"/>
      <c r="G77" s="12"/>
      <c r="H77" s="12"/>
      <c r="I77" s="12"/>
      <c r="J77" s="12"/>
      <c r="K77" s="10" t="str">
        <f t="shared" si="26"/>
        <v/>
      </c>
      <c r="L77" s="10" t="str">
        <f t="shared" si="27"/>
        <v/>
      </c>
      <c r="M77" s="10" t="str">
        <f t="shared" si="28"/>
        <v/>
      </c>
      <c r="N77" s="10" t="str">
        <f t="shared" si="29"/>
        <v/>
      </c>
      <c r="O77" s="10" t="str">
        <f t="shared" si="30"/>
        <v/>
      </c>
      <c r="P77" s="10" t="str">
        <f t="shared" si="31"/>
        <v/>
      </c>
      <c r="Q77" s="10" t="str">
        <f t="shared" si="32"/>
        <v/>
      </c>
      <c r="R77" s="10" t="str">
        <f t="shared" si="33"/>
        <v/>
      </c>
      <c r="S77" s="10" t="str">
        <f t="shared" si="34"/>
        <v/>
      </c>
      <c r="T77" s="10" t="str">
        <f t="shared" si="35"/>
        <v/>
      </c>
    </row>
    <row r="78" spans="1:20" x14ac:dyDescent="0.2">
      <c r="A78" s="10" t="str">
        <f t="shared" si="24"/>
        <v/>
      </c>
      <c r="B78" s="3"/>
      <c r="C78" s="4" t="str">
        <f t="shared" si="25"/>
        <v/>
      </c>
      <c r="D78" s="3"/>
      <c r="E78" s="12"/>
      <c r="F78" s="12"/>
      <c r="G78" s="12"/>
      <c r="H78" s="12"/>
      <c r="I78" s="12"/>
      <c r="J78" s="12"/>
      <c r="K78" s="10" t="str">
        <f t="shared" si="26"/>
        <v/>
      </c>
      <c r="L78" s="10" t="str">
        <f t="shared" si="27"/>
        <v/>
      </c>
      <c r="M78" s="10" t="str">
        <f t="shared" si="28"/>
        <v/>
      </c>
      <c r="N78" s="10" t="str">
        <f t="shared" si="29"/>
        <v/>
      </c>
      <c r="O78" s="10" t="str">
        <f t="shared" si="30"/>
        <v/>
      </c>
      <c r="P78" s="10" t="str">
        <f t="shared" si="31"/>
        <v/>
      </c>
      <c r="Q78" s="10" t="str">
        <f t="shared" si="32"/>
        <v/>
      </c>
      <c r="R78" s="10" t="str">
        <f t="shared" si="33"/>
        <v/>
      </c>
      <c r="S78" s="10" t="str">
        <f t="shared" si="34"/>
        <v/>
      </c>
      <c r="T78" s="10" t="str">
        <f t="shared" si="35"/>
        <v/>
      </c>
    </row>
    <row r="79" spans="1:20" x14ac:dyDescent="0.2">
      <c r="A79" s="10" t="str">
        <f t="shared" si="24"/>
        <v/>
      </c>
      <c r="B79" s="3"/>
      <c r="C79" s="4" t="str">
        <f t="shared" si="25"/>
        <v/>
      </c>
      <c r="D79" s="3"/>
      <c r="E79" s="12"/>
      <c r="F79" s="12"/>
      <c r="G79" s="12"/>
      <c r="H79" s="12"/>
      <c r="I79" s="12"/>
      <c r="J79" s="12"/>
      <c r="K79" s="10" t="str">
        <f t="shared" si="26"/>
        <v/>
      </c>
      <c r="L79" s="10" t="str">
        <f t="shared" si="27"/>
        <v/>
      </c>
      <c r="M79" s="10" t="str">
        <f t="shared" si="28"/>
        <v/>
      </c>
      <c r="N79" s="10" t="str">
        <f t="shared" si="29"/>
        <v/>
      </c>
      <c r="O79" s="10" t="str">
        <f t="shared" si="30"/>
        <v/>
      </c>
      <c r="P79" s="10" t="str">
        <f t="shared" si="31"/>
        <v/>
      </c>
      <c r="Q79" s="10" t="str">
        <f t="shared" si="32"/>
        <v/>
      </c>
      <c r="R79" s="10" t="str">
        <f t="shared" si="33"/>
        <v/>
      </c>
      <c r="S79" s="10" t="str">
        <f t="shared" si="34"/>
        <v/>
      </c>
      <c r="T79" s="10" t="str">
        <f t="shared" si="35"/>
        <v/>
      </c>
    </row>
    <row r="80" spans="1:20" x14ac:dyDescent="0.2">
      <c r="A80" s="10" t="str">
        <f t="shared" si="24"/>
        <v/>
      </c>
      <c r="B80" s="3"/>
      <c r="C80" s="4" t="str">
        <f t="shared" si="25"/>
        <v/>
      </c>
      <c r="D80" s="3"/>
      <c r="E80" s="12"/>
      <c r="F80" s="12"/>
      <c r="G80" s="12"/>
      <c r="H80" s="12"/>
      <c r="I80" s="12"/>
      <c r="J80" s="12"/>
      <c r="K80" s="10" t="str">
        <f t="shared" si="26"/>
        <v/>
      </c>
      <c r="L80" s="10" t="str">
        <f t="shared" si="27"/>
        <v/>
      </c>
      <c r="M80" s="10" t="str">
        <f t="shared" si="28"/>
        <v/>
      </c>
      <c r="N80" s="10" t="str">
        <f t="shared" si="29"/>
        <v/>
      </c>
      <c r="O80" s="10" t="str">
        <f t="shared" si="30"/>
        <v/>
      </c>
      <c r="P80" s="10" t="str">
        <f t="shared" si="31"/>
        <v/>
      </c>
      <c r="Q80" s="10" t="str">
        <f t="shared" si="32"/>
        <v/>
      </c>
      <c r="R80" s="10" t="str">
        <f t="shared" si="33"/>
        <v/>
      </c>
      <c r="S80" s="10" t="str">
        <f t="shared" si="34"/>
        <v/>
      </c>
      <c r="T80" s="10" t="str">
        <f t="shared" si="35"/>
        <v/>
      </c>
    </row>
    <row r="81" spans="1:20" x14ac:dyDescent="0.2">
      <c r="A81" s="10" t="str">
        <f t="shared" si="24"/>
        <v/>
      </c>
      <c r="B81" s="3"/>
      <c r="C81" s="4" t="str">
        <f t="shared" si="25"/>
        <v/>
      </c>
      <c r="D81" s="3"/>
      <c r="E81" s="12"/>
      <c r="F81" s="12"/>
      <c r="G81" s="12"/>
      <c r="H81" s="12"/>
      <c r="I81" s="12"/>
      <c r="J81" s="12"/>
      <c r="K81" s="10" t="str">
        <f t="shared" si="26"/>
        <v/>
      </c>
      <c r="L81" s="10" t="str">
        <f t="shared" si="27"/>
        <v/>
      </c>
      <c r="M81" s="10" t="str">
        <f t="shared" si="28"/>
        <v/>
      </c>
      <c r="N81" s="10" t="str">
        <f t="shared" si="29"/>
        <v/>
      </c>
      <c r="O81" s="10" t="str">
        <f t="shared" si="30"/>
        <v/>
      </c>
      <c r="P81" s="10" t="str">
        <f t="shared" si="31"/>
        <v/>
      </c>
      <c r="Q81" s="10" t="str">
        <f t="shared" si="32"/>
        <v/>
      </c>
      <c r="R81" s="10" t="str">
        <f t="shared" si="33"/>
        <v/>
      </c>
      <c r="S81" s="10" t="str">
        <f t="shared" si="34"/>
        <v/>
      </c>
      <c r="T81" s="10" t="str">
        <f t="shared" si="35"/>
        <v/>
      </c>
    </row>
    <row r="82" spans="1:20" x14ac:dyDescent="0.2">
      <c r="A82" s="10" t="str">
        <f t="shared" si="24"/>
        <v/>
      </c>
      <c r="B82" s="3"/>
      <c r="C82" s="4" t="str">
        <f t="shared" si="25"/>
        <v/>
      </c>
      <c r="D82" s="3"/>
      <c r="E82" s="12"/>
      <c r="F82" s="12"/>
      <c r="G82" s="12"/>
      <c r="H82" s="12"/>
      <c r="I82" s="12"/>
      <c r="J82" s="12"/>
      <c r="K82" s="10" t="str">
        <f t="shared" si="26"/>
        <v/>
      </c>
      <c r="L82" s="10" t="str">
        <f t="shared" si="27"/>
        <v/>
      </c>
      <c r="M82" s="10" t="str">
        <f t="shared" si="28"/>
        <v/>
      </c>
      <c r="N82" s="10" t="str">
        <f t="shared" si="29"/>
        <v/>
      </c>
      <c r="O82" s="10" t="str">
        <f t="shared" si="30"/>
        <v/>
      </c>
      <c r="P82" s="10" t="str">
        <f t="shared" si="31"/>
        <v/>
      </c>
      <c r="Q82" s="10" t="str">
        <f t="shared" si="32"/>
        <v/>
      </c>
      <c r="R82" s="10" t="str">
        <f t="shared" si="33"/>
        <v/>
      </c>
      <c r="S82" s="10" t="str">
        <f t="shared" si="34"/>
        <v/>
      </c>
      <c r="T82" s="10" t="str">
        <f t="shared" si="35"/>
        <v/>
      </c>
    </row>
    <row r="83" spans="1:20" x14ac:dyDescent="0.2">
      <c r="A83" s="10" t="str">
        <f t="shared" si="24"/>
        <v/>
      </c>
      <c r="B83" s="3"/>
      <c r="C83" s="4" t="str">
        <f t="shared" si="25"/>
        <v/>
      </c>
      <c r="D83" s="3"/>
      <c r="E83" s="12"/>
      <c r="F83" s="12"/>
      <c r="G83" s="12"/>
      <c r="H83" s="12"/>
      <c r="I83" s="12"/>
      <c r="J83" s="12"/>
      <c r="K83" s="10" t="str">
        <f t="shared" si="26"/>
        <v/>
      </c>
      <c r="L83" s="10" t="str">
        <f t="shared" si="27"/>
        <v/>
      </c>
      <c r="M83" s="10" t="str">
        <f t="shared" si="28"/>
        <v/>
      </c>
      <c r="N83" s="10" t="str">
        <f t="shared" si="29"/>
        <v/>
      </c>
      <c r="O83" s="10" t="str">
        <f t="shared" si="30"/>
        <v/>
      </c>
      <c r="P83" s="10" t="str">
        <f t="shared" si="31"/>
        <v/>
      </c>
      <c r="Q83" s="10" t="str">
        <f t="shared" si="32"/>
        <v/>
      </c>
      <c r="R83" s="10" t="str">
        <f t="shared" si="33"/>
        <v/>
      </c>
      <c r="S83" s="10" t="str">
        <f t="shared" si="34"/>
        <v/>
      </c>
      <c r="T83" s="10" t="str">
        <f t="shared" si="35"/>
        <v/>
      </c>
    </row>
    <row r="84" spans="1:20" x14ac:dyDescent="0.2">
      <c r="A84" s="10" t="str">
        <f t="shared" si="24"/>
        <v/>
      </c>
      <c r="B84" s="3"/>
      <c r="C84" s="4" t="str">
        <f t="shared" si="25"/>
        <v/>
      </c>
      <c r="D84" s="3"/>
      <c r="E84" s="12"/>
      <c r="F84" s="12"/>
      <c r="G84" s="12"/>
      <c r="H84" s="12"/>
      <c r="I84" s="12"/>
      <c r="J84" s="12"/>
      <c r="K84" s="10" t="str">
        <f t="shared" si="26"/>
        <v/>
      </c>
      <c r="L84" s="10" t="str">
        <f t="shared" si="27"/>
        <v/>
      </c>
      <c r="M84" s="10" t="str">
        <f t="shared" si="28"/>
        <v/>
      </c>
      <c r="N84" s="10" t="str">
        <f t="shared" si="29"/>
        <v/>
      </c>
      <c r="O84" s="10" t="str">
        <f t="shared" si="30"/>
        <v/>
      </c>
      <c r="P84" s="10" t="str">
        <f t="shared" si="31"/>
        <v/>
      </c>
      <c r="Q84" s="10" t="str">
        <f t="shared" si="32"/>
        <v/>
      </c>
      <c r="R84" s="10" t="str">
        <f t="shared" si="33"/>
        <v/>
      </c>
      <c r="S84" s="10" t="str">
        <f t="shared" si="34"/>
        <v/>
      </c>
      <c r="T84" s="10" t="str">
        <f t="shared" si="35"/>
        <v/>
      </c>
    </row>
    <row r="85" spans="1:20" x14ac:dyDescent="0.2">
      <c r="A85" s="10" t="str">
        <f t="shared" si="24"/>
        <v/>
      </c>
      <c r="B85" s="3"/>
      <c r="C85" s="4" t="str">
        <f t="shared" si="25"/>
        <v/>
      </c>
      <c r="D85" s="3"/>
      <c r="E85" s="12"/>
      <c r="F85" s="12"/>
      <c r="G85" s="12"/>
      <c r="H85" s="12"/>
      <c r="I85" s="12"/>
      <c r="J85" s="12"/>
      <c r="K85" s="10" t="str">
        <f t="shared" si="26"/>
        <v/>
      </c>
      <c r="L85" s="10" t="str">
        <f t="shared" si="27"/>
        <v/>
      </c>
      <c r="M85" s="10" t="str">
        <f t="shared" si="28"/>
        <v/>
      </c>
      <c r="N85" s="10" t="str">
        <f t="shared" si="29"/>
        <v/>
      </c>
      <c r="O85" s="10" t="str">
        <f t="shared" si="30"/>
        <v/>
      </c>
      <c r="P85" s="10" t="str">
        <f t="shared" si="31"/>
        <v/>
      </c>
      <c r="Q85" s="10" t="str">
        <f t="shared" si="32"/>
        <v/>
      </c>
      <c r="R85" s="10" t="str">
        <f t="shared" si="33"/>
        <v/>
      </c>
      <c r="S85" s="10" t="str">
        <f t="shared" si="34"/>
        <v/>
      </c>
      <c r="T85" s="10" t="str">
        <f t="shared" si="35"/>
        <v/>
      </c>
    </row>
    <row r="86" spans="1:20" x14ac:dyDescent="0.2">
      <c r="A86" s="10" t="str">
        <f t="shared" si="24"/>
        <v/>
      </c>
      <c r="B86" s="3"/>
      <c r="C86" s="4" t="str">
        <f t="shared" si="25"/>
        <v/>
      </c>
      <c r="D86" s="3"/>
      <c r="E86" s="12"/>
      <c r="F86" s="12"/>
      <c r="G86" s="12"/>
      <c r="H86" s="12"/>
      <c r="I86" s="12"/>
      <c r="J86" s="12"/>
      <c r="K86" s="10" t="str">
        <f t="shared" si="26"/>
        <v/>
      </c>
      <c r="L86" s="10" t="str">
        <f t="shared" si="27"/>
        <v/>
      </c>
      <c r="M86" s="10" t="str">
        <f t="shared" si="28"/>
        <v/>
      </c>
      <c r="N86" s="10" t="str">
        <f t="shared" si="29"/>
        <v/>
      </c>
      <c r="O86" s="10" t="str">
        <f t="shared" si="30"/>
        <v/>
      </c>
      <c r="P86" s="10" t="str">
        <f t="shared" si="31"/>
        <v/>
      </c>
      <c r="Q86" s="10" t="str">
        <f t="shared" si="32"/>
        <v/>
      </c>
      <c r="R86" s="10" t="str">
        <f t="shared" si="33"/>
        <v/>
      </c>
      <c r="S86" s="10" t="str">
        <f t="shared" si="34"/>
        <v/>
      </c>
      <c r="T86" s="10" t="str">
        <f t="shared" si="35"/>
        <v/>
      </c>
    </row>
    <row r="87" spans="1:20" x14ac:dyDescent="0.2">
      <c r="A87" s="10" t="str">
        <f t="shared" si="24"/>
        <v/>
      </c>
      <c r="B87" s="3"/>
      <c r="C87" s="4" t="str">
        <f t="shared" si="25"/>
        <v/>
      </c>
      <c r="D87" s="3"/>
      <c r="E87" s="12"/>
      <c r="F87" s="12"/>
      <c r="G87" s="12"/>
      <c r="H87" s="12"/>
      <c r="I87" s="12"/>
      <c r="J87" s="12"/>
      <c r="K87" s="10" t="str">
        <f t="shared" si="26"/>
        <v/>
      </c>
      <c r="L87" s="10" t="str">
        <f t="shared" si="27"/>
        <v/>
      </c>
      <c r="M87" s="10" t="str">
        <f t="shared" si="28"/>
        <v/>
      </c>
      <c r="N87" s="10" t="str">
        <f t="shared" si="29"/>
        <v/>
      </c>
      <c r="O87" s="10" t="str">
        <f t="shared" si="30"/>
        <v/>
      </c>
      <c r="P87" s="10" t="str">
        <f t="shared" si="31"/>
        <v/>
      </c>
      <c r="Q87" s="10" t="str">
        <f t="shared" si="32"/>
        <v/>
      </c>
      <c r="R87" s="10" t="str">
        <f t="shared" si="33"/>
        <v/>
      </c>
      <c r="S87" s="10" t="str">
        <f t="shared" si="34"/>
        <v/>
      </c>
      <c r="T87" s="10" t="str">
        <f t="shared" si="35"/>
        <v/>
      </c>
    </row>
    <row r="88" spans="1:20" x14ac:dyDescent="0.2">
      <c r="A88" s="10" t="str">
        <f t="shared" si="24"/>
        <v/>
      </c>
      <c r="B88" s="3"/>
      <c r="C88" s="4" t="str">
        <f t="shared" si="25"/>
        <v/>
      </c>
      <c r="D88" s="3"/>
      <c r="E88" s="12"/>
      <c r="F88" s="12"/>
      <c r="G88" s="12"/>
      <c r="H88" s="12"/>
      <c r="I88" s="12"/>
      <c r="J88" s="12"/>
      <c r="K88" s="10" t="str">
        <f t="shared" si="26"/>
        <v/>
      </c>
      <c r="L88" s="10" t="str">
        <f t="shared" si="27"/>
        <v/>
      </c>
      <c r="M88" s="10" t="str">
        <f t="shared" si="28"/>
        <v/>
      </c>
      <c r="N88" s="10" t="str">
        <f t="shared" si="29"/>
        <v/>
      </c>
      <c r="O88" s="10" t="str">
        <f t="shared" si="30"/>
        <v/>
      </c>
      <c r="P88" s="10" t="str">
        <f t="shared" si="31"/>
        <v/>
      </c>
      <c r="Q88" s="10" t="str">
        <f t="shared" si="32"/>
        <v/>
      </c>
      <c r="R88" s="10" t="str">
        <f t="shared" si="33"/>
        <v/>
      </c>
      <c r="S88" s="10" t="str">
        <f t="shared" si="34"/>
        <v/>
      </c>
      <c r="T88" s="10" t="str">
        <f t="shared" si="35"/>
        <v/>
      </c>
    </row>
    <row r="89" spans="1:20" x14ac:dyDescent="0.2">
      <c r="A89" s="10" t="str">
        <f t="shared" si="24"/>
        <v/>
      </c>
      <c r="B89" s="3"/>
      <c r="C89" s="4" t="str">
        <f t="shared" si="25"/>
        <v/>
      </c>
      <c r="D89" s="3"/>
      <c r="E89" s="12"/>
      <c r="F89" s="12"/>
      <c r="G89" s="12"/>
      <c r="H89" s="12"/>
      <c r="I89" s="12"/>
      <c r="J89" s="12"/>
      <c r="K89" s="10" t="str">
        <f t="shared" si="26"/>
        <v/>
      </c>
      <c r="L89" s="10" t="str">
        <f t="shared" si="27"/>
        <v/>
      </c>
      <c r="M89" s="10" t="str">
        <f t="shared" si="28"/>
        <v/>
      </c>
      <c r="N89" s="10" t="str">
        <f t="shared" si="29"/>
        <v/>
      </c>
      <c r="O89" s="10" t="str">
        <f t="shared" si="30"/>
        <v/>
      </c>
      <c r="P89" s="10" t="str">
        <f t="shared" si="31"/>
        <v/>
      </c>
      <c r="Q89" s="10" t="str">
        <f t="shared" si="32"/>
        <v/>
      </c>
      <c r="R89" s="10" t="str">
        <f t="shared" si="33"/>
        <v/>
      </c>
      <c r="S89" s="10" t="str">
        <f t="shared" si="34"/>
        <v/>
      </c>
      <c r="T89" s="10" t="str">
        <f t="shared" si="35"/>
        <v/>
      </c>
    </row>
    <row r="90" spans="1:20" x14ac:dyDescent="0.2">
      <c r="A90" s="10" t="str">
        <f t="shared" si="24"/>
        <v/>
      </c>
      <c r="B90" s="3"/>
      <c r="C90" s="4" t="str">
        <f t="shared" si="25"/>
        <v/>
      </c>
      <c r="D90" s="3"/>
      <c r="E90" s="12"/>
      <c r="F90" s="12"/>
      <c r="G90" s="12"/>
      <c r="H90" s="12"/>
      <c r="I90" s="12"/>
      <c r="J90" s="12"/>
      <c r="K90" s="10" t="str">
        <f t="shared" si="26"/>
        <v/>
      </c>
      <c r="L90" s="10" t="str">
        <f t="shared" si="27"/>
        <v/>
      </c>
      <c r="M90" s="10" t="str">
        <f t="shared" si="28"/>
        <v/>
      </c>
      <c r="N90" s="10" t="str">
        <f t="shared" si="29"/>
        <v/>
      </c>
      <c r="O90" s="10" t="str">
        <f t="shared" si="30"/>
        <v/>
      </c>
      <c r="P90" s="10" t="str">
        <f t="shared" si="31"/>
        <v/>
      </c>
      <c r="Q90" s="10" t="str">
        <f t="shared" si="32"/>
        <v/>
      </c>
      <c r="R90" s="10" t="str">
        <f t="shared" si="33"/>
        <v/>
      </c>
      <c r="S90" s="10" t="str">
        <f t="shared" si="34"/>
        <v/>
      </c>
      <c r="T90" s="10" t="str">
        <f t="shared" si="35"/>
        <v/>
      </c>
    </row>
    <row r="91" spans="1:20" x14ac:dyDescent="0.2">
      <c r="A91" s="10" t="str">
        <f t="shared" si="24"/>
        <v/>
      </c>
      <c r="B91" s="3"/>
      <c r="C91" s="4" t="str">
        <f t="shared" si="25"/>
        <v/>
      </c>
      <c r="D91" s="3"/>
      <c r="E91" s="12"/>
      <c r="F91" s="12"/>
      <c r="G91" s="12"/>
      <c r="H91" s="12"/>
      <c r="I91" s="12"/>
      <c r="J91" s="12"/>
      <c r="K91" s="10" t="str">
        <f t="shared" si="26"/>
        <v/>
      </c>
      <c r="L91" s="10" t="str">
        <f t="shared" si="27"/>
        <v/>
      </c>
      <c r="M91" s="10" t="str">
        <f t="shared" si="28"/>
        <v/>
      </c>
      <c r="N91" s="10" t="str">
        <f t="shared" si="29"/>
        <v/>
      </c>
      <c r="O91" s="10" t="str">
        <f t="shared" si="30"/>
        <v/>
      </c>
      <c r="P91" s="10" t="str">
        <f t="shared" si="31"/>
        <v/>
      </c>
      <c r="Q91" s="10" t="str">
        <f t="shared" si="32"/>
        <v/>
      </c>
      <c r="R91" s="10" t="str">
        <f t="shared" si="33"/>
        <v/>
      </c>
      <c r="S91" s="10" t="str">
        <f t="shared" si="34"/>
        <v/>
      </c>
      <c r="T91" s="10" t="str">
        <f t="shared" si="35"/>
        <v/>
      </c>
    </row>
    <row r="92" spans="1:20" x14ac:dyDescent="0.2">
      <c r="A92" s="10" t="str">
        <f t="shared" si="24"/>
        <v/>
      </c>
      <c r="B92" s="3"/>
      <c r="C92" s="4" t="str">
        <f t="shared" si="25"/>
        <v/>
      </c>
      <c r="D92" s="3"/>
      <c r="E92" s="12"/>
      <c r="F92" s="12"/>
      <c r="G92" s="12"/>
      <c r="H92" s="12"/>
      <c r="I92" s="12"/>
      <c r="J92" s="12"/>
      <c r="K92" s="10" t="str">
        <f t="shared" si="26"/>
        <v/>
      </c>
      <c r="L92" s="10" t="str">
        <f t="shared" si="27"/>
        <v/>
      </c>
      <c r="M92" s="10" t="str">
        <f t="shared" si="28"/>
        <v/>
      </c>
      <c r="N92" s="10" t="str">
        <f t="shared" si="29"/>
        <v/>
      </c>
      <c r="O92" s="10" t="str">
        <f t="shared" si="30"/>
        <v/>
      </c>
      <c r="P92" s="10" t="str">
        <f t="shared" si="31"/>
        <v/>
      </c>
      <c r="Q92" s="10" t="str">
        <f t="shared" si="32"/>
        <v/>
      </c>
      <c r="R92" s="10" t="str">
        <f t="shared" si="33"/>
        <v/>
      </c>
      <c r="S92" s="10" t="str">
        <f t="shared" si="34"/>
        <v/>
      </c>
      <c r="T92" s="10" t="str">
        <f t="shared" si="35"/>
        <v/>
      </c>
    </row>
    <row r="93" spans="1:20" x14ac:dyDescent="0.2">
      <c r="A93" s="10" t="str">
        <f t="shared" si="24"/>
        <v/>
      </c>
      <c r="B93" s="3"/>
      <c r="C93" s="4" t="str">
        <f t="shared" si="25"/>
        <v/>
      </c>
      <c r="D93" s="3"/>
      <c r="E93" s="12"/>
      <c r="F93" s="12"/>
      <c r="G93" s="12"/>
      <c r="H93" s="12"/>
      <c r="I93" s="12"/>
      <c r="J93" s="12"/>
      <c r="K93" s="10" t="str">
        <f t="shared" si="26"/>
        <v/>
      </c>
      <c r="L93" s="10" t="str">
        <f t="shared" si="27"/>
        <v/>
      </c>
      <c r="M93" s="10" t="str">
        <f t="shared" si="28"/>
        <v/>
      </c>
      <c r="N93" s="10" t="str">
        <f t="shared" si="29"/>
        <v/>
      </c>
      <c r="O93" s="10" t="str">
        <f t="shared" si="30"/>
        <v/>
      </c>
      <c r="P93" s="10" t="str">
        <f t="shared" si="31"/>
        <v/>
      </c>
      <c r="Q93" s="10" t="str">
        <f t="shared" si="32"/>
        <v/>
      </c>
      <c r="R93" s="10" t="str">
        <f t="shared" si="33"/>
        <v/>
      </c>
      <c r="S93" s="10" t="str">
        <f t="shared" si="34"/>
        <v/>
      </c>
      <c r="T93" s="10" t="str">
        <f t="shared" si="35"/>
        <v/>
      </c>
    </row>
    <row r="94" spans="1:20" x14ac:dyDescent="0.2">
      <c r="A94" s="10" t="str">
        <f t="shared" si="24"/>
        <v/>
      </c>
      <c r="B94" s="3"/>
      <c r="C94" s="4" t="str">
        <f t="shared" si="25"/>
        <v/>
      </c>
      <c r="D94" s="3"/>
      <c r="E94" s="12"/>
      <c r="F94" s="12"/>
      <c r="G94" s="12"/>
      <c r="H94" s="12"/>
      <c r="I94" s="12"/>
      <c r="J94" s="12"/>
      <c r="K94" s="10" t="str">
        <f t="shared" si="26"/>
        <v/>
      </c>
      <c r="L94" s="10" t="str">
        <f t="shared" si="27"/>
        <v/>
      </c>
      <c r="M94" s="10" t="str">
        <f t="shared" si="28"/>
        <v/>
      </c>
      <c r="N94" s="10" t="str">
        <f t="shared" si="29"/>
        <v/>
      </c>
      <c r="O94" s="10" t="str">
        <f t="shared" si="30"/>
        <v/>
      </c>
      <c r="P94" s="10" t="str">
        <f t="shared" si="31"/>
        <v/>
      </c>
      <c r="Q94" s="10" t="str">
        <f t="shared" si="32"/>
        <v/>
      </c>
      <c r="R94" s="10" t="str">
        <f t="shared" si="33"/>
        <v/>
      </c>
      <c r="S94" s="10" t="str">
        <f t="shared" si="34"/>
        <v/>
      </c>
      <c r="T94" s="10" t="str">
        <f t="shared" si="35"/>
        <v/>
      </c>
    </row>
    <row r="95" spans="1:20" x14ac:dyDescent="0.2">
      <c r="A95" s="10" t="str">
        <f t="shared" si="24"/>
        <v/>
      </c>
      <c r="B95" s="3"/>
      <c r="C95" s="4" t="str">
        <f t="shared" si="25"/>
        <v/>
      </c>
      <c r="D95" s="3"/>
      <c r="E95" s="12"/>
      <c r="F95" s="12"/>
      <c r="G95" s="12"/>
      <c r="H95" s="12"/>
      <c r="I95" s="12"/>
      <c r="J95" s="12"/>
      <c r="K95" s="10" t="str">
        <f t="shared" si="26"/>
        <v/>
      </c>
      <c r="L95" s="10" t="str">
        <f t="shared" si="27"/>
        <v/>
      </c>
      <c r="M95" s="10" t="str">
        <f t="shared" si="28"/>
        <v/>
      </c>
      <c r="N95" s="10" t="str">
        <f t="shared" si="29"/>
        <v/>
      </c>
      <c r="O95" s="10" t="str">
        <f t="shared" si="30"/>
        <v/>
      </c>
      <c r="P95" s="10" t="str">
        <f t="shared" si="31"/>
        <v/>
      </c>
      <c r="Q95" s="10" t="str">
        <f t="shared" si="32"/>
        <v/>
      </c>
      <c r="R95" s="10" t="str">
        <f t="shared" si="33"/>
        <v/>
      </c>
      <c r="S95" s="10" t="str">
        <f t="shared" si="34"/>
        <v/>
      </c>
      <c r="T95" s="10" t="str">
        <f t="shared" si="35"/>
        <v/>
      </c>
    </row>
    <row r="96" spans="1:20" x14ac:dyDescent="0.2">
      <c r="A96" s="10" t="str">
        <f t="shared" si="24"/>
        <v/>
      </c>
      <c r="B96" s="3"/>
      <c r="C96" s="4" t="str">
        <f t="shared" si="25"/>
        <v/>
      </c>
      <c r="D96" s="3"/>
      <c r="E96" s="12"/>
      <c r="F96" s="12"/>
      <c r="G96" s="12"/>
      <c r="H96" s="12"/>
      <c r="I96" s="12"/>
      <c r="J96" s="12"/>
      <c r="K96" s="10" t="str">
        <f t="shared" si="26"/>
        <v/>
      </c>
      <c r="L96" s="10" t="str">
        <f t="shared" si="27"/>
        <v/>
      </c>
      <c r="M96" s="10" t="str">
        <f t="shared" si="28"/>
        <v/>
      </c>
      <c r="N96" s="10" t="str">
        <f t="shared" si="29"/>
        <v/>
      </c>
      <c r="O96" s="10" t="str">
        <f t="shared" si="30"/>
        <v/>
      </c>
      <c r="P96" s="10" t="str">
        <f t="shared" si="31"/>
        <v/>
      </c>
      <c r="Q96" s="10" t="str">
        <f t="shared" si="32"/>
        <v/>
      </c>
      <c r="R96" s="10" t="str">
        <f t="shared" si="33"/>
        <v/>
      </c>
      <c r="S96" s="10" t="str">
        <f t="shared" si="34"/>
        <v/>
      </c>
      <c r="T96" s="10" t="str">
        <f t="shared" si="35"/>
        <v/>
      </c>
    </row>
    <row r="97" spans="1:20" x14ac:dyDescent="0.2">
      <c r="A97" s="10" t="str">
        <f t="shared" si="24"/>
        <v/>
      </c>
      <c r="B97" s="3"/>
      <c r="C97" s="4" t="str">
        <f t="shared" si="25"/>
        <v/>
      </c>
      <c r="D97" s="3"/>
      <c r="E97" s="12"/>
      <c r="F97" s="12"/>
      <c r="G97" s="12"/>
      <c r="H97" s="12"/>
      <c r="I97" s="12"/>
      <c r="J97" s="12"/>
      <c r="K97" s="10" t="str">
        <f t="shared" si="26"/>
        <v/>
      </c>
      <c r="L97" s="10" t="str">
        <f t="shared" si="27"/>
        <v/>
      </c>
      <c r="M97" s="10" t="str">
        <f t="shared" si="28"/>
        <v/>
      </c>
      <c r="N97" s="10" t="str">
        <f t="shared" si="29"/>
        <v/>
      </c>
      <c r="O97" s="10" t="str">
        <f t="shared" si="30"/>
        <v/>
      </c>
      <c r="P97" s="10" t="str">
        <f t="shared" si="31"/>
        <v/>
      </c>
      <c r="Q97" s="10" t="str">
        <f t="shared" si="32"/>
        <v/>
      </c>
      <c r="R97" s="10" t="str">
        <f t="shared" si="33"/>
        <v/>
      </c>
      <c r="S97" s="10" t="str">
        <f t="shared" si="34"/>
        <v/>
      </c>
      <c r="T97" s="10" t="str">
        <f t="shared" si="35"/>
        <v/>
      </c>
    </row>
    <row r="98" spans="1:20" x14ac:dyDescent="0.2">
      <c r="A98" s="10" t="str">
        <f t="shared" si="24"/>
        <v/>
      </c>
      <c r="B98" s="3"/>
      <c r="C98" s="4" t="str">
        <f t="shared" si="25"/>
        <v/>
      </c>
      <c r="D98" s="3"/>
      <c r="E98" s="12"/>
      <c r="F98" s="12"/>
      <c r="G98" s="12"/>
      <c r="H98" s="12"/>
      <c r="I98" s="12"/>
      <c r="J98" s="12"/>
      <c r="K98" s="10" t="str">
        <f t="shared" si="26"/>
        <v/>
      </c>
      <c r="L98" s="10" t="str">
        <f t="shared" si="27"/>
        <v/>
      </c>
      <c r="M98" s="10" t="str">
        <f t="shared" si="28"/>
        <v/>
      </c>
      <c r="N98" s="10" t="str">
        <f t="shared" si="29"/>
        <v/>
      </c>
      <c r="O98" s="10" t="str">
        <f t="shared" si="30"/>
        <v/>
      </c>
      <c r="P98" s="10" t="str">
        <f t="shared" si="31"/>
        <v/>
      </c>
      <c r="Q98" s="10" t="str">
        <f t="shared" si="32"/>
        <v/>
      </c>
      <c r="R98" s="10" t="str">
        <f t="shared" si="33"/>
        <v/>
      </c>
      <c r="S98" s="10" t="str">
        <f t="shared" si="34"/>
        <v/>
      </c>
      <c r="T98" s="10" t="str">
        <f t="shared" si="35"/>
        <v/>
      </c>
    </row>
    <row r="99" spans="1:20" x14ac:dyDescent="0.2">
      <c r="A99" s="10" t="str">
        <f t="shared" si="24"/>
        <v/>
      </c>
      <c r="B99" s="3"/>
      <c r="C99" s="4" t="str">
        <f t="shared" si="25"/>
        <v/>
      </c>
      <c r="D99" s="3"/>
      <c r="E99" s="12"/>
      <c r="F99" s="12"/>
      <c r="G99" s="12"/>
      <c r="H99" s="12"/>
      <c r="I99" s="12"/>
      <c r="J99" s="12"/>
      <c r="K99" s="10" t="str">
        <f t="shared" si="26"/>
        <v/>
      </c>
      <c r="L99" s="10" t="str">
        <f t="shared" si="27"/>
        <v/>
      </c>
      <c r="M99" s="10" t="str">
        <f t="shared" si="28"/>
        <v/>
      </c>
      <c r="N99" s="10" t="str">
        <f t="shared" si="29"/>
        <v/>
      </c>
      <c r="O99" s="10" t="str">
        <f t="shared" si="30"/>
        <v/>
      </c>
      <c r="P99" s="10" t="str">
        <f t="shared" si="31"/>
        <v/>
      </c>
      <c r="Q99" s="10" t="str">
        <f t="shared" si="32"/>
        <v/>
      </c>
      <c r="R99" s="10" t="str">
        <f t="shared" si="33"/>
        <v/>
      </c>
      <c r="S99" s="10" t="str">
        <f t="shared" si="34"/>
        <v/>
      </c>
      <c r="T99" s="10" t="str">
        <f t="shared" si="35"/>
        <v/>
      </c>
    </row>
    <row r="100" spans="1:20" x14ac:dyDescent="0.2">
      <c r="A100" s="10" t="str">
        <f t="shared" si="24"/>
        <v/>
      </c>
      <c r="B100" s="3"/>
      <c r="C100" s="4" t="str">
        <f t="shared" si="25"/>
        <v/>
      </c>
      <c r="D100" s="3"/>
      <c r="E100" s="12"/>
      <c r="F100" s="12"/>
      <c r="G100" s="12"/>
      <c r="H100" s="12"/>
      <c r="I100" s="12"/>
      <c r="J100" s="12"/>
      <c r="K100" s="10" t="str">
        <f t="shared" si="26"/>
        <v/>
      </c>
      <c r="L100" s="10" t="str">
        <f t="shared" si="27"/>
        <v/>
      </c>
      <c r="M100" s="10" t="str">
        <f t="shared" si="28"/>
        <v/>
      </c>
      <c r="N100" s="10" t="str">
        <f t="shared" si="29"/>
        <v/>
      </c>
      <c r="O100" s="10" t="str">
        <f t="shared" si="30"/>
        <v/>
      </c>
      <c r="P100" s="10" t="str">
        <f t="shared" si="31"/>
        <v/>
      </c>
      <c r="Q100" s="10" t="str">
        <f t="shared" si="32"/>
        <v/>
      </c>
      <c r="R100" s="10" t="str">
        <f t="shared" si="33"/>
        <v/>
      </c>
      <c r="S100" s="10" t="str">
        <f t="shared" si="34"/>
        <v/>
      </c>
      <c r="T100" s="10" t="str">
        <f t="shared" si="35"/>
        <v/>
      </c>
    </row>
    <row r="101" spans="1:20" x14ac:dyDescent="0.2">
      <c r="A101" s="2" t="str">
        <f t="shared" si="24"/>
        <v/>
      </c>
      <c r="C101" s="1" t="str">
        <f t="shared" si="25"/>
        <v/>
      </c>
      <c r="E101" s="2"/>
      <c r="K101" s="2" t="str">
        <f t="shared" si="26"/>
        <v/>
      </c>
      <c r="L101" s="2" t="str">
        <f t="shared" si="27"/>
        <v/>
      </c>
      <c r="M101" s="2" t="str">
        <f t="shared" si="28"/>
        <v/>
      </c>
      <c r="N101" s="2" t="str">
        <f t="shared" si="29"/>
        <v/>
      </c>
      <c r="O101" s="2" t="str">
        <f t="shared" si="30"/>
        <v/>
      </c>
      <c r="P101" s="2" t="str">
        <f t="shared" si="31"/>
        <v/>
      </c>
      <c r="Q101" s="2" t="str">
        <f t="shared" si="32"/>
        <v/>
      </c>
      <c r="R101" s="2" t="str">
        <f t="shared" si="33"/>
        <v/>
      </c>
      <c r="S101" s="2" t="str">
        <f t="shared" si="34"/>
        <v/>
      </c>
      <c r="T101" s="2" t="str">
        <f t="shared" si="35"/>
        <v/>
      </c>
    </row>
    <row r="102" spans="1:20" x14ac:dyDescent="0.2">
      <c r="A102" s="2" t="str">
        <f t="shared" ref="A102:A105" si="36">IF(ISTEXT(B102),startNum + ROW() - 6,"")</f>
        <v/>
      </c>
      <c r="C102" s="1" t="str">
        <f t="shared" ref="C102:C105" si="37">IF(ISTEXT(B102),club,"")</f>
        <v/>
      </c>
      <c r="E102" s="2"/>
      <c r="K102" s="2" t="str">
        <f t="shared" si="26"/>
        <v/>
      </c>
      <c r="L102" s="2" t="str">
        <f t="shared" ref="L102:L105" si="38">IF(ISBLANK(F102),"",VLOOKUP(K102,IMNos,2,FALSE))</f>
        <v/>
      </c>
      <c r="M102" s="2" t="str">
        <f t="shared" si="28"/>
        <v/>
      </c>
      <c r="N102" s="2" t="str">
        <f t="shared" ref="N102:N105" si="39">IF(ISBLANK(G102),"",VLOOKUP(M102,FreeNos,2,FALSE))</f>
        <v/>
      </c>
      <c r="O102" s="2" t="str">
        <f t="shared" si="30"/>
        <v/>
      </c>
      <c r="P102" s="2" t="str">
        <f t="shared" ref="P102:P105" si="40">IF(ISBLANK(H102),"",VLOOKUP(O102,BackNos,2,FALSE))</f>
        <v/>
      </c>
      <c r="Q102" s="2" t="str">
        <f t="shared" si="32"/>
        <v/>
      </c>
      <c r="R102" s="2" t="str">
        <f t="shared" ref="R102:R105" si="41">IF(ISBLANK(I102),"",VLOOKUP(Q102,FlyNos,2,FALSE))</f>
        <v/>
      </c>
      <c r="S102" s="2" t="str">
        <f t="shared" si="34"/>
        <v/>
      </c>
      <c r="T102" s="2" t="str">
        <f t="shared" ref="T102:T105" si="42">IF(ISBLANK(J102),"",VLOOKUP(S102,BreastNos,2,FALSE))</f>
        <v/>
      </c>
    </row>
    <row r="103" spans="1:20" x14ac:dyDescent="0.2">
      <c r="A103" s="2" t="str">
        <f t="shared" si="36"/>
        <v/>
      </c>
      <c r="C103" s="1" t="str">
        <f t="shared" si="37"/>
        <v/>
      </c>
      <c r="E103" s="2"/>
      <c r="K103" s="2" t="str">
        <f t="shared" si="26"/>
        <v/>
      </c>
      <c r="L103" s="2" t="str">
        <f t="shared" si="38"/>
        <v/>
      </c>
      <c r="M103" s="2" t="str">
        <f t="shared" si="28"/>
        <v/>
      </c>
      <c r="N103" s="2" t="str">
        <f t="shared" si="39"/>
        <v/>
      </c>
      <c r="O103" s="2" t="str">
        <f t="shared" si="30"/>
        <v/>
      </c>
      <c r="P103" s="2" t="str">
        <f t="shared" si="40"/>
        <v/>
      </c>
      <c r="Q103" s="2" t="str">
        <f t="shared" si="32"/>
        <v/>
      </c>
      <c r="R103" s="2" t="str">
        <f t="shared" si="41"/>
        <v/>
      </c>
      <c r="S103" s="2" t="str">
        <f t="shared" si="34"/>
        <v/>
      </c>
      <c r="T103" s="2" t="str">
        <f t="shared" si="42"/>
        <v/>
      </c>
    </row>
    <row r="104" spans="1:20" x14ac:dyDescent="0.2">
      <c r="A104" s="2" t="str">
        <f t="shared" si="36"/>
        <v/>
      </c>
      <c r="C104" s="1" t="str">
        <f t="shared" si="37"/>
        <v/>
      </c>
      <c r="E104" s="2"/>
      <c r="K104" s="2" t="str">
        <f t="shared" si="26"/>
        <v/>
      </c>
      <c r="L104" s="2" t="str">
        <f t="shared" si="38"/>
        <v/>
      </c>
      <c r="M104" s="2" t="str">
        <f t="shared" si="28"/>
        <v/>
      </c>
      <c r="N104" s="2" t="str">
        <f t="shared" si="39"/>
        <v/>
      </c>
      <c r="O104" s="2" t="str">
        <f t="shared" si="30"/>
        <v/>
      </c>
      <c r="P104" s="2" t="str">
        <f t="shared" si="40"/>
        <v/>
      </c>
      <c r="Q104" s="2" t="str">
        <f t="shared" si="32"/>
        <v/>
      </c>
      <c r="R104" s="2" t="str">
        <f t="shared" si="41"/>
        <v/>
      </c>
      <c r="S104" s="2" t="str">
        <f t="shared" si="34"/>
        <v/>
      </c>
      <c r="T104" s="2" t="str">
        <f t="shared" si="42"/>
        <v/>
      </c>
    </row>
    <row r="105" spans="1:20" x14ac:dyDescent="0.2">
      <c r="A105" s="2" t="str">
        <f t="shared" si="36"/>
        <v/>
      </c>
      <c r="C105" s="1" t="str">
        <f t="shared" si="37"/>
        <v/>
      </c>
      <c r="E105" s="2"/>
      <c r="K105" s="2" t="str">
        <f t="shared" si="26"/>
        <v/>
      </c>
      <c r="L105" s="2" t="str">
        <f t="shared" si="38"/>
        <v/>
      </c>
      <c r="M105" s="2" t="str">
        <f t="shared" si="28"/>
        <v/>
      </c>
      <c r="N105" s="2" t="str">
        <f t="shared" si="39"/>
        <v/>
      </c>
      <c r="O105" s="2" t="str">
        <f t="shared" si="30"/>
        <v/>
      </c>
      <c r="P105" s="2" t="str">
        <f t="shared" si="40"/>
        <v/>
      </c>
      <c r="Q105" s="2" t="str">
        <f t="shared" si="32"/>
        <v/>
      </c>
      <c r="R105" s="2" t="str">
        <f t="shared" si="41"/>
        <v/>
      </c>
      <c r="S105" s="2" t="str">
        <f t="shared" si="34"/>
        <v/>
      </c>
      <c r="T105" s="2" t="str">
        <f t="shared" si="42"/>
        <v/>
      </c>
    </row>
    <row r="106" spans="1:20" x14ac:dyDescent="0.2">
      <c r="A106" s="2"/>
    </row>
  </sheetData>
  <sheetProtection sheet="1" objects="1" scenarios="1"/>
  <protectedRanges>
    <protectedRange sqref="D6:D100" name="Category"/>
    <protectedRange sqref="B6:B100" name="SwimmerName"/>
    <protectedRange sqref="E6:J100" name="Events"/>
  </protectedRanges>
  <dataValidations count="3">
    <dataValidation type="list" allowBlank="1" showInputMessage="1" showErrorMessage="1" sqref="E6:E105 JA6:JA105 SW6:SW105 ACS6:ACS105 AMO6:AMO105 AWK6:AWK105 BGG6:BGG105 BQC6:BQC105 BZY6:BZY105 CJU6:CJU105 CTQ6:CTQ105 DDM6:DDM105 DNI6:DNI105 DXE6:DXE105 EHA6:EHA105 EQW6:EQW105 FAS6:FAS105 FKO6:FKO105 FUK6:FUK105 GEG6:GEG105 GOC6:GOC105 GXY6:GXY105 HHU6:HHU105 HRQ6:HRQ105 IBM6:IBM105 ILI6:ILI105 IVE6:IVE105 JFA6:JFA105 JOW6:JOW105 JYS6:JYS105 KIO6:KIO105 KSK6:KSK105 LCG6:LCG105 LMC6:LMC105 LVY6:LVY105 MFU6:MFU105 MPQ6:MPQ105 MZM6:MZM105 NJI6:NJI105 NTE6:NTE105 ODA6:ODA105 OMW6:OMW105 OWS6:OWS105 PGO6:PGO105 PQK6:PQK105 QAG6:QAG105 QKC6:QKC105 QTY6:QTY105 RDU6:RDU105 RNQ6:RNQ105 RXM6:RXM105 SHI6:SHI105 SRE6:SRE105 TBA6:TBA105 TKW6:TKW105 TUS6:TUS105 UEO6:UEO105 UOK6:UOK105 UYG6:UYG105 VIC6:VIC105 VRY6:VRY105 WBU6:WBU105 WLQ6:WLQ105 WVM6:WVM105 E65542:E65641 JA65542:JA65641 SW65542:SW65641 ACS65542:ACS65641 AMO65542:AMO65641 AWK65542:AWK65641 BGG65542:BGG65641 BQC65542:BQC65641 BZY65542:BZY65641 CJU65542:CJU65641 CTQ65542:CTQ65641 DDM65542:DDM65641 DNI65542:DNI65641 DXE65542:DXE65641 EHA65542:EHA65641 EQW65542:EQW65641 FAS65542:FAS65641 FKO65542:FKO65641 FUK65542:FUK65641 GEG65542:GEG65641 GOC65542:GOC65641 GXY65542:GXY65641 HHU65542:HHU65641 HRQ65542:HRQ65641 IBM65542:IBM65641 ILI65542:ILI65641 IVE65542:IVE65641 JFA65542:JFA65641 JOW65542:JOW65641 JYS65542:JYS65641 KIO65542:KIO65641 KSK65542:KSK65641 LCG65542:LCG65641 LMC65542:LMC65641 LVY65542:LVY65641 MFU65542:MFU65641 MPQ65542:MPQ65641 MZM65542:MZM65641 NJI65542:NJI65641 NTE65542:NTE65641 ODA65542:ODA65641 OMW65542:OMW65641 OWS65542:OWS65641 PGO65542:PGO65641 PQK65542:PQK65641 QAG65542:QAG65641 QKC65542:QKC65641 QTY65542:QTY65641 RDU65542:RDU65641 RNQ65542:RNQ65641 RXM65542:RXM65641 SHI65542:SHI65641 SRE65542:SRE65641 TBA65542:TBA65641 TKW65542:TKW65641 TUS65542:TUS65641 UEO65542:UEO65641 UOK65542:UOK65641 UYG65542:UYG65641 VIC65542:VIC65641 VRY65542:VRY65641 WBU65542:WBU65641 WLQ65542:WLQ65641 WVM65542:WVM65641 E131078:E131177 JA131078:JA131177 SW131078:SW131177 ACS131078:ACS131177 AMO131078:AMO131177 AWK131078:AWK131177 BGG131078:BGG131177 BQC131078:BQC131177 BZY131078:BZY131177 CJU131078:CJU131177 CTQ131078:CTQ131177 DDM131078:DDM131177 DNI131078:DNI131177 DXE131078:DXE131177 EHA131078:EHA131177 EQW131078:EQW131177 FAS131078:FAS131177 FKO131078:FKO131177 FUK131078:FUK131177 GEG131078:GEG131177 GOC131078:GOC131177 GXY131078:GXY131177 HHU131078:HHU131177 HRQ131078:HRQ131177 IBM131078:IBM131177 ILI131078:ILI131177 IVE131078:IVE131177 JFA131078:JFA131177 JOW131078:JOW131177 JYS131078:JYS131177 KIO131078:KIO131177 KSK131078:KSK131177 LCG131078:LCG131177 LMC131078:LMC131177 LVY131078:LVY131177 MFU131078:MFU131177 MPQ131078:MPQ131177 MZM131078:MZM131177 NJI131078:NJI131177 NTE131078:NTE131177 ODA131078:ODA131177 OMW131078:OMW131177 OWS131078:OWS131177 PGO131078:PGO131177 PQK131078:PQK131177 QAG131078:QAG131177 QKC131078:QKC131177 QTY131078:QTY131177 RDU131078:RDU131177 RNQ131078:RNQ131177 RXM131078:RXM131177 SHI131078:SHI131177 SRE131078:SRE131177 TBA131078:TBA131177 TKW131078:TKW131177 TUS131078:TUS131177 UEO131078:UEO131177 UOK131078:UOK131177 UYG131078:UYG131177 VIC131078:VIC131177 VRY131078:VRY131177 WBU131078:WBU131177 WLQ131078:WLQ131177 WVM131078:WVM131177 E196614:E196713 JA196614:JA196713 SW196614:SW196713 ACS196614:ACS196713 AMO196614:AMO196713 AWK196614:AWK196713 BGG196614:BGG196713 BQC196614:BQC196713 BZY196614:BZY196713 CJU196614:CJU196713 CTQ196614:CTQ196713 DDM196614:DDM196713 DNI196614:DNI196713 DXE196614:DXE196713 EHA196614:EHA196713 EQW196614:EQW196713 FAS196614:FAS196713 FKO196614:FKO196713 FUK196614:FUK196713 GEG196614:GEG196713 GOC196614:GOC196713 GXY196614:GXY196713 HHU196614:HHU196713 HRQ196614:HRQ196713 IBM196614:IBM196713 ILI196614:ILI196713 IVE196614:IVE196713 JFA196614:JFA196713 JOW196614:JOW196713 JYS196614:JYS196713 KIO196614:KIO196713 KSK196614:KSK196713 LCG196614:LCG196713 LMC196614:LMC196713 LVY196614:LVY196713 MFU196614:MFU196713 MPQ196614:MPQ196713 MZM196614:MZM196713 NJI196614:NJI196713 NTE196614:NTE196713 ODA196614:ODA196713 OMW196614:OMW196713 OWS196614:OWS196713 PGO196614:PGO196713 PQK196614:PQK196713 QAG196614:QAG196713 QKC196614:QKC196713 QTY196614:QTY196713 RDU196614:RDU196713 RNQ196614:RNQ196713 RXM196614:RXM196713 SHI196614:SHI196713 SRE196614:SRE196713 TBA196614:TBA196713 TKW196614:TKW196713 TUS196614:TUS196713 UEO196614:UEO196713 UOK196614:UOK196713 UYG196614:UYG196713 VIC196614:VIC196713 VRY196614:VRY196713 WBU196614:WBU196713 WLQ196614:WLQ196713 WVM196614:WVM196713 E262150:E262249 JA262150:JA262249 SW262150:SW262249 ACS262150:ACS262249 AMO262150:AMO262249 AWK262150:AWK262249 BGG262150:BGG262249 BQC262150:BQC262249 BZY262150:BZY262249 CJU262150:CJU262249 CTQ262150:CTQ262249 DDM262150:DDM262249 DNI262150:DNI262249 DXE262150:DXE262249 EHA262150:EHA262249 EQW262150:EQW262249 FAS262150:FAS262249 FKO262150:FKO262249 FUK262150:FUK262249 GEG262150:GEG262249 GOC262150:GOC262249 GXY262150:GXY262249 HHU262150:HHU262249 HRQ262150:HRQ262249 IBM262150:IBM262249 ILI262150:ILI262249 IVE262150:IVE262249 JFA262150:JFA262249 JOW262150:JOW262249 JYS262150:JYS262249 KIO262150:KIO262249 KSK262150:KSK262249 LCG262150:LCG262249 LMC262150:LMC262249 LVY262150:LVY262249 MFU262150:MFU262249 MPQ262150:MPQ262249 MZM262150:MZM262249 NJI262150:NJI262249 NTE262150:NTE262249 ODA262150:ODA262249 OMW262150:OMW262249 OWS262150:OWS262249 PGO262150:PGO262249 PQK262150:PQK262249 QAG262150:QAG262249 QKC262150:QKC262249 QTY262150:QTY262249 RDU262150:RDU262249 RNQ262150:RNQ262249 RXM262150:RXM262249 SHI262150:SHI262249 SRE262150:SRE262249 TBA262150:TBA262249 TKW262150:TKW262249 TUS262150:TUS262249 UEO262150:UEO262249 UOK262150:UOK262249 UYG262150:UYG262249 VIC262150:VIC262249 VRY262150:VRY262249 WBU262150:WBU262249 WLQ262150:WLQ262249 WVM262150:WVM262249 E327686:E327785 JA327686:JA327785 SW327686:SW327785 ACS327686:ACS327785 AMO327686:AMO327785 AWK327686:AWK327785 BGG327686:BGG327785 BQC327686:BQC327785 BZY327686:BZY327785 CJU327686:CJU327785 CTQ327686:CTQ327785 DDM327686:DDM327785 DNI327686:DNI327785 DXE327686:DXE327785 EHA327686:EHA327785 EQW327686:EQW327785 FAS327686:FAS327785 FKO327686:FKO327785 FUK327686:FUK327785 GEG327686:GEG327785 GOC327686:GOC327785 GXY327686:GXY327785 HHU327686:HHU327785 HRQ327686:HRQ327785 IBM327686:IBM327785 ILI327686:ILI327785 IVE327686:IVE327785 JFA327686:JFA327785 JOW327686:JOW327785 JYS327686:JYS327785 KIO327686:KIO327785 KSK327686:KSK327785 LCG327686:LCG327785 LMC327686:LMC327785 LVY327686:LVY327785 MFU327686:MFU327785 MPQ327686:MPQ327785 MZM327686:MZM327785 NJI327686:NJI327785 NTE327686:NTE327785 ODA327686:ODA327785 OMW327686:OMW327785 OWS327686:OWS327785 PGO327686:PGO327785 PQK327686:PQK327785 QAG327686:QAG327785 QKC327686:QKC327785 QTY327686:QTY327785 RDU327686:RDU327785 RNQ327686:RNQ327785 RXM327686:RXM327785 SHI327686:SHI327785 SRE327686:SRE327785 TBA327686:TBA327785 TKW327686:TKW327785 TUS327686:TUS327785 UEO327686:UEO327785 UOK327686:UOK327785 UYG327686:UYG327785 VIC327686:VIC327785 VRY327686:VRY327785 WBU327686:WBU327785 WLQ327686:WLQ327785 WVM327686:WVM327785 E393222:E393321 JA393222:JA393321 SW393222:SW393321 ACS393222:ACS393321 AMO393222:AMO393321 AWK393222:AWK393321 BGG393222:BGG393321 BQC393222:BQC393321 BZY393222:BZY393321 CJU393222:CJU393321 CTQ393222:CTQ393321 DDM393222:DDM393321 DNI393222:DNI393321 DXE393222:DXE393321 EHA393222:EHA393321 EQW393222:EQW393321 FAS393222:FAS393321 FKO393222:FKO393321 FUK393222:FUK393321 GEG393222:GEG393321 GOC393222:GOC393321 GXY393222:GXY393321 HHU393222:HHU393321 HRQ393222:HRQ393321 IBM393222:IBM393321 ILI393222:ILI393321 IVE393222:IVE393321 JFA393222:JFA393321 JOW393222:JOW393321 JYS393222:JYS393321 KIO393222:KIO393321 KSK393222:KSK393321 LCG393222:LCG393321 LMC393222:LMC393321 LVY393222:LVY393321 MFU393222:MFU393321 MPQ393222:MPQ393321 MZM393222:MZM393321 NJI393222:NJI393321 NTE393222:NTE393321 ODA393222:ODA393321 OMW393222:OMW393321 OWS393222:OWS393321 PGO393222:PGO393321 PQK393222:PQK393321 QAG393222:QAG393321 QKC393222:QKC393321 QTY393222:QTY393321 RDU393222:RDU393321 RNQ393222:RNQ393321 RXM393222:RXM393321 SHI393222:SHI393321 SRE393222:SRE393321 TBA393222:TBA393321 TKW393222:TKW393321 TUS393222:TUS393321 UEO393222:UEO393321 UOK393222:UOK393321 UYG393222:UYG393321 VIC393222:VIC393321 VRY393222:VRY393321 WBU393222:WBU393321 WLQ393222:WLQ393321 WVM393222:WVM393321 E458758:E458857 JA458758:JA458857 SW458758:SW458857 ACS458758:ACS458857 AMO458758:AMO458857 AWK458758:AWK458857 BGG458758:BGG458857 BQC458758:BQC458857 BZY458758:BZY458857 CJU458758:CJU458857 CTQ458758:CTQ458857 DDM458758:DDM458857 DNI458758:DNI458857 DXE458758:DXE458857 EHA458758:EHA458857 EQW458758:EQW458857 FAS458758:FAS458857 FKO458758:FKO458857 FUK458758:FUK458857 GEG458758:GEG458857 GOC458758:GOC458857 GXY458758:GXY458857 HHU458758:HHU458857 HRQ458758:HRQ458857 IBM458758:IBM458857 ILI458758:ILI458857 IVE458758:IVE458857 JFA458758:JFA458857 JOW458758:JOW458857 JYS458758:JYS458857 KIO458758:KIO458857 KSK458758:KSK458857 LCG458758:LCG458857 LMC458758:LMC458857 LVY458758:LVY458857 MFU458758:MFU458857 MPQ458758:MPQ458857 MZM458758:MZM458857 NJI458758:NJI458857 NTE458758:NTE458857 ODA458758:ODA458857 OMW458758:OMW458857 OWS458758:OWS458857 PGO458758:PGO458857 PQK458758:PQK458857 QAG458758:QAG458857 QKC458758:QKC458857 QTY458758:QTY458857 RDU458758:RDU458857 RNQ458758:RNQ458857 RXM458758:RXM458857 SHI458758:SHI458857 SRE458758:SRE458857 TBA458758:TBA458857 TKW458758:TKW458857 TUS458758:TUS458857 UEO458758:UEO458857 UOK458758:UOK458857 UYG458758:UYG458857 VIC458758:VIC458857 VRY458758:VRY458857 WBU458758:WBU458857 WLQ458758:WLQ458857 WVM458758:WVM458857 E524294:E524393 JA524294:JA524393 SW524294:SW524393 ACS524294:ACS524393 AMO524294:AMO524393 AWK524294:AWK524393 BGG524294:BGG524393 BQC524294:BQC524393 BZY524294:BZY524393 CJU524294:CJU524393 CTQ524294:CTQ524393 DDM524294:DDM524393 DNI524294:DNI524393 DXE524294:DXE524393 EHA524294:EHA524393 EQW524294:EQW524393 FAS524294:FAS524393 FKO524294:FKO524393 FUK524294:FUK524393 GEG524294:GEG524393 GOC524294:GOC524393 GXY524294:GXY524393 HHU524294:HHU524393 HRQ524294:HRQ524393 IBM524294:IBM524393 ILI524294:ILI524393 IVE524294:IVE524393 JFA524294:JFA524393 JOW524294:JOW524393 JYS524294:JYS524393 KIO524294:KIO524393 KSK524294:KSK524393 LCG524294:LCG524393 LMC524294:LMC524393 LVY524294:LVY524393 MFU524294:MFU524393 MPQ524294:MPQ524393 MZM524294:MZM524393 NJI524294:NJI524393 NTE524294:NTE524393 ODA524294:ODA524393 OMW524294:OMW524393 OWS524294:OWS524393 PGO524294:PGO524393 PQK524294:PQK524393 QAG524294:QAG524393 QKC524294:QKC524393 QTY524294:QTY524393 RDU524294:RDU524393 RNQ524294:RNQ524393 RXM524294:RXM524393 SHI524294:SHI524393 SRE524294:SRE524393 TBA524294:TBA524393 TKW524294:TKW524393 TUS524294:TUS524393 UEO524294:UEO524393 UOK524294:UOK524393 UYG524294:UYG524393 VIC524294:VIC524393 VRY524294:VRY524393 WBU524294:WBU524393 WLQ524294:WLQ524393 WVM524294:WVM524393 E589830:E589929 JA589830:JA589929 SW589830:SW589929 ACS589830:ACS589929 AMO589830:AMO589929 AWK589830:AWK589929 BGG589830:BGG589929 BQC589830:BQC589929 BZY589830:BZY589929 CJU589830:CJU589929 CTQ589830:CTQ589929 DDM589830:DDM589929 DNI589830:DNI589929 DXE589830:DXE589929 EHA589830:EHA589929 EQW589830:EQW589929 FAS589830:FAS589929 FKO589830:FKO589929 FUK589830:FUK589929 GEG589830:GEG589929 GOC589830:GOC589929 GXY589830:GXY589929 HHU589830:HHU589929 HRQ589830:HRQ589929 IBM589830:IBM589929 ILI589830:ILI589929 IVE589830:IVE589929 JFA589830:JFA589929 JOW589830:JOW589929 JYS589830:JYS589929 KIO589830:KIO589929 KSK589830:KSK589929 LCG589830:LCG589929 LMC589830:LMC589929 LVY589830:LVY589929 MFU589830:MFU589929 MPQ589830:MPQ589929 MZM589830:MZM589929 NJI589830:NJI589929 NTE589830:NTE589929 ODA589830:ODA589929 OMW589830:OMW589929 OWS589830:OWS589929 PGO589830:PGO589929 PQK589830:PQK589929 QAG589830:QAG589929 QKC589830:QKC589929 QTY589830:QTY589929 RDU589830:RDU589929 RNQ589830:RNQ589929 RXM589830:RXM589929 SHI589830:SHI589929 SRE589830:SRE589929 TBA589830:TBA589929 TKW589830:TKW589929 TUS589830:TUS589929 UEO589830:UEO589929 UOK589830:UOK589929 UYG589830:UYG589929 VIC589830:VIC589929 VRY589830:VRY589929 WBU589830:WBU589929 WLQ589830:WLQ589929 WVM589830:WVM589929 E655366:E655465 JA655366:JA655465 SW655366:SW655465 ACS655366:ACS655465 AMO655366:AMO655465 AWK655366:AWK655465 BGG655366:BGG655465 BQC655366:BQC655465 BZY655366:BZY655465 CJU655366:CJU655465 CTQ655366:CTQ655465 DDM655366:DDM655465 DNI655366:DNI655465 DXE655366:DXE655465 EHA655366:EHA655465 EQW655366:EQW655465 FAS655366:FAS655465 FKO655366:FKO655465 FUK655366:FUK655465 GEG655366:GEG655465 GOC655366:GOC655465 GXY655366:GXY655465 HHU655366:HHU655465 HRQ655366:HRQ655465 IBM655366:IBM655465 ILI655366:ILI655465 IVE655366:IVE655465 JFA655366:JFA655465 JOW655366:JOW655465 JYS655366:JYS655465 KIO655366:KIO655465 KSK655366:KSK655465 LCG655366:LCG655465 LMC655366:LMC655465 LVY655366:LVY655465 MFU655366:MFU655465 MPQ655366:MPQ655465 MZM655366:MZM655465 NJI655366:NJI655465 NTE655366:NTE655465 ODA655366:ODA655465 OMW655366:OMW655465 OWS655366:OWS655465 PGO655366:PGO655465 PQK655366:PQK655465 QAG655366:QAG655465 QKC655366:QKC655465 QTY655366:QTY655465 RDU655366:RDU655465 RNQ655366:RNQ655465 RXM655366:RXM655465 SHI655366:SHI655465 SRE655366:SRE655465 TBA655366:TBA655465 TKW655366:TKW655465 TUS655366:TUS655465 UEO655366:UEO655465 UOK655366:UOK655465 UYG655366:UYG655465 VIC655366:VIC655465 VRY655366:VRY655465 WBU655366:WBU655465 WLQ655366:WLQ655465 WVM655366:WVM655465 E720902:E721001 JA720902:JA721001 SW720902:SW721001 ACS720902:ACS721001 AMO720902:AMO721001 AWK720902:AWK721001 BGG720902:BGG721001 BQC720902:BQC721001 BZY720902:BZY721001 CJU720902:CJU721001 CTQ720902:CTQ721001 DDM720902:DDM721001 DNI720902:DNI721001 DXE720902:DXE721001 EHA720902:EHA721001 EQW720902:EQW721001 FAS720902:FAS721001 FKO720902:FKO721001 FUK720902:FUK721001 GEG720902:GEG721001 GOC720902:GOC721001 GXY720902:GXY721001 HHU720902:HHU721001 HRQ720902:HRQ721001 IBM720902:IBM721001 ILI720902:ILI721001 IVE720902:IVE721001 JFA720902:JFA721001 JOW720902:JOW721001 JYS720902:JYS721001 KIO720902:KIO721001 KSK720902:KSK721001 LCG720902:LCG721001 LMC720902:LMC721001 LVY720902:LVY721001 MFU720902:MFU721001 MPQ720902:MPQ721001 MZM720902:MZM721001 NJI720902:NJI721001 NTE720902:NTE721001 ODA720902:ODA721001 OMW720902:OMW721001 OWS720902:OWS721001 PGO720902:PGO721001 PQK720902:PQK721001 QAG720902:QAG721001 QKC720902:QKC721001 QTY720902:QTY721001 RDU720902:RDU721001 RNQ720902:RNQ721001 RXM720902:RXM721001 SHI720902:SHI721001 SRE720902:SRE721001 TBA720902:TBA721001 TKW720902:TKW721001 TUS720902:TUS721001 UEO720902:UEO721001 UOK720902:UOK721001 UYG720902:UYG721001 VIC720902:VIC721001 VRY720902:VRY721001 WBU720902:WBU721001 WLQ720902:WLQ721001 WVM720902:WVM721001 E786438:E786537 JA786438:JA786537 SW786438:SW786537 ACS786438:ACS786537 AMO786438:AMO786537 AWK786438:AWK786537 BGG786438:BGG786537 BQC786438:BQC786537 BZY786438:BZY786537 CJU786438:CJU786537 CTQ786438:CTQ786537 DDM786438:DDM786537 DNI786438:DNI786537 DXE786438:DXE786537 EHA786438:EHA786537 EQW786438:EQW786537 FAS786438:FAS786537 FKO786438:FKO786537 FUK786438:FUK786537 GEG786438:GEG786537 GOC786438:GOC786537 GXY786438:GXY786537 HHU786438:HHU786537 HRQ786438:HRQ786537 IBM786438:IBM786537 ILI786438:ILI786537 IVE786438:IVE786537 JFA786438:JFA786537 JOW786438:JOW786537 JYS786438:JYS786537 KIO786438:KIO786537 KSK786438:KSK786537 LCG786438:LCG786537 LMC786438:LMC786537 LVY786438:LVY786537 MFU786438:MFU786537 MPQ786438:MPQ786537 MZM786438:MZM786537 NJI786438:NJI786537 NTE786438:NTE786537 ODA786438:ODA786537 OMW786438:OMW786537 OWS786438:OWS786537 PGO786438:PGO786537 PQK786438:PQK786537 QAG786438:QAG786537 QKC786438:QKC786537 QTY786438:QTY786537 RDU786438:RDU786537 RNQ786438:RNQ786537 RXM786438:RXM786537 SHI786438:SHI786537 SRE786438:SRE786537 TBA786438:TBA786537 TKW786438:TKW786537 TUS786438:TUS786537 UEO786438:UEO786537 UOK786438:UOK786537 UYG786438:UYG786537 VIC786438:VIC786537 VRY786438:VRY786537 WBU786438:WBU786537 WLQ786438:WLQ786537 WVM786438:WVM786537 E851974:E852073 JA851974:JA852073 SW851974:SW852073 ACS851974:ACS852073 AMO851974:AMO852073 AWK851974:AWK852073 BGG851974:BGG852073 BQC851974:BQC852073 BZY851974:BZY852073 CJU851974:CJU852073 CTQ851974:CTQ852073 DDM851974:DDM852073 DNI851974:DNI852073 DXE851974:DXE852073 EHA851974:EHA852073 EQW851974:EQW852073 FAS851974:FAS852073 FKO851974:FKO852073 FUK851974:FUK852073 GEG851974:GEG852073 GOC851974:GOC852073 GXY851974:GXY852073 HHU851974:HHU852073 HRQ851974:HRQ852073 IBM851974:IBM852073 ILI851974:ILI852073 IVE851974:IVE852073 JFA851974:JFA852073 JOW851974:JOW852073 JYS851974:JYS852073 KIO851974:KIO852073 KSK851974:KSK852073 LCG851974:LCG852073 LMC851974:LMC852073 LVY851974:LVY852073 MFU851974:MFU852073 MPQ851974:MPQ852073 MZM851974:MZM852073 NJI851974:NJI852073 NTE851974:NTE852073 ODA851974:ODA852073 OMW851974:OMW852073 OWS851974:OWS852073 PGO851974:PGO852073 PQK851974:PQK852073 QAG851974:QAG852073 QKC851974:QKC852073 QTY851974:QTY852073 RDU851974:RDU852073 RNQ851974:RNQ852073 RXM851974:RXM852073 SHI851974:SHI852073 SRE851974:SRE852073 TBA851974:TBA852073 TKW851974:TKW852073 TUS851974:TUS852073 UEO851974:UEO852073 UOK851974:UOK852073 UYG851974:UYG852073 VIC851974:VIC852073 VRY851974:VRY852073 WBU851974:WBU852073 WLQ851974:WLQ852073 WVM851974:WVM852073 E917510:E917609 JA917510:JA917609 SW917510:SW917609 ACS917510:ACS917609 AMO917510:AMO917609 AWK917510:AWK917609 BGG917510:BGG917609 BQC917510:BQC917609 BZY917510:BZY917609 CJU917510:CJU917609 CTQ917510:CTQ917609 DDM917510:DDM917609 DNI917510:DNI917609 DXE917510:DXE917609 EHA917510:EHA917609 EQW917510:EQW917609 FAS917510:FAS917609 FKO917510:FKO917609 FUK917510:FUK917609 GEG917510:GEG917609 GOC917510:GOC917609 GXY917510:GXY917609 HHU917510:HHU917609 HRQ917510:HRQ917609 IBM917510:IBM917609 ILI917510:ILI917609 IVE917510:IVE917609 JFA917510:JFA917609 JOW917510:JOW917609 JYS917510:JYS917609 KIO917510:KIO917609 KSK917510:KSK917609 LCG917510:LCG917609 LMC917510:LMC917609 LVY917510:LVY917609 MFU917510:MFU917609 MPQ917510:MPQ917609 MZM917510:MZM917609 NJI917510:NJI917609 NTE917510:NTE917609 ODA917510:ODA917609 OMW917510:OMW917609 OWS917510:OWS917609 PGO917510:PGO917609 PQK917510:PQK917609 QAG917510:QAG917609 QKC917510:QKC917609 QTY917510:QTY917609 RDU917510:RDU917609 RNQ917510:RNQ917609 RXM917510:RXM917609 SHI917510:SHI917609 SRE917510:SRE917609 TBA917510:TBA917609 TKW917510:TKW917609 TUS917510:TUS917609 UEO917510:UEO917609 UOK917510:UOK917609 UYG917510:UYG917609 VIC917510:VIC917609 VRY917510:VRY917609 WBU917510:WBU917609 WLQ917510:WLQ917609 WVM917510:WVM917609 E983046:E983145 JA983046:JA983145 SW983046:SW983145 ACS983046:ACS983145 AMO983046:AMO983145 AWK983046:AWK983145 BGG983046:BGG983145 BQC983046:BQC983145 BZY983046:BZY983145 CJU983046:CJU983145 CTQ983046:CTQ983145 DDM983046:DDM983145 DNI983046:DNI983145 DXE983046:DXE983145 EHA983046:EHA983145 EQW983046:EQW983145 FAS983046:FAS983145 FKO983046:FKO983145 FUK983046:FUK983145 GEG983046:GEG983145 GOC983046:GOC983145 GXY983046:GXY983145 HHU983046:HHU983145 HRQ983046:HRQ983145 IBM983046:IBM983145 ILI983046:ILI983145 IVE983046:IVE983145 JFA983046:JFA983145 JOW983046:JOW983145 JYS983046:JYS983145 KIO983046:KIO983145 KSK983046:KSK983145 LCG983046:LCG983145 LMC983046:LMC983145 LVY983046:LVY983145 MFU983046:MFU983145 MPQ983046:MPQ983145 MZM983046:MZM983145 NJI983046:NJI983145 NTE983046:NTE983145 ODA983046:ODA983145 OMW983046:OMW983145 OWS983046:OWS983145 PGO983046:PGO983145 PQK983046:PQK983145 QAG983046:QAG983145 QKC983046:QKC983145 QTY983046:QTY983145 RDU983046:RDU983145 RNQ983046:RNQ983145 RXM983046:RXM983145 SHI983046:SHI983145 SRE983046:SRE983145 TBA983046:TBA983145 TKW983046:TKW983145 TUS983046:TUS983145 UEO983046:UEO983145 UOK983046:UOK983145 UYG983046:UYG983145 VIC983046:VIC983145 VRY983046:VRY983145 WBU983046:WBU983145 WLQ983046:WLQ983145 WVM983046:WVM983145" xr:uid="{00000000-0002-0000-0000-000000000000}">
      <formula1>competitive</formula1>
    </dataValidation>
    <dataValidation type="list" allowBlank="1" showInputMessage="1" showErrorMessage="1" sqref="D6:D106 IZ6:IZ106 SV6:SV106 ACR6:ACR106 AMN6:AMN106 AWJ6:AWJ106 BGF6:BGF106 BQB6:BQB106 BZX6:BZX106 CJT6:CJT106 CTP6:CTP106 DDL6:DDL106 DNH6:DNH106 DXD6:DXD106 EGZ6:EGZ106 EQV6:EQV106 FAR6:FAR106 FKN6:FKN106 FUJ6:FUJ106 GEF6:GEF106 GOB6:GOB106 GXX6:GXX106 HHT6:HHT106 HRP6:HRP106 IBL6:IBL106 ILH6:ILH106 IVD6:IVD106 JEZ6:JEZ106 JOV6:JOV106 JYR6:JYR106 KIN6:KIN106 KSJ6:KSJ106 LCF6:LCF106 LMB6:LMB106 LVX6:LVX106 MFT6:MFT106 MPP6:MPP106 MZL6:MZL106 NJH6:NJH106 NTD6:NTD106 OCZ6:OCZ106 OMV6:OMV106 OWR6:OWR106 PGN6:PGN106 PQJ6:PQJ106 QAF6:QAF106 QKB6:QKB106 QTX6:QTX106 RDT6:RDT106 RNP6:RNP106 RXL6:RXL106 SHH6:SHH106 SRD6:SRD106 TAZ6:TAZ106 TKV6:TKV106 TUR6:TUR106 UEN6:UEN106 UOJ6:UOJ106 UYF6:UYF106 VIB6:VIB106 VRX6:VRX106 WBT6:WBT106 WLP6:WLP106 WVL6:WVL106 D65542:D65642 IZ65542:IZ65642 SV65542:SV65642 ACR65542:ACR65642 AMN65542:AMN65642 AWJ65542:AWJ65642 BGF65542:BGF65642 BQB65542:BQB65642 BZX65542:BZX65642 CJT65542:CJT65642 CTP65542:CTP65642 DDL65542:DDL65642 DNH65542:DNH65642 DXD65542:DXD65642 EGZ65542:EGZ65642 EQV65542:EQV65642 FAR65542:FAR65642 FKN65542:FKN65642 FUJ65542:FUJ65642 GEF65542:GEF65642 GOB65542:GOB65642 GXX65542:GXX65642 HHT65542:HHT65642 HRP65542:HRP65642 IBL65542:IBL65642 ILH65542:ILH65642 IVD65542:IVD65642 JEZ65542:JEZ65642 JOV65542:JOV65642 JYR65542:JYR65642 KIN65542:KIN65642 KSJ65542:KSJ65642 LCF65542:LCF65642 LMB65542:LMB65642 LVX65542:LVX65642 MFT65542:MFT65642 MPP65542:MPP65642 MZL65542:MZL65642 NJH65542:NJH65642 NTD65542:NTD65642 OCZ65542:OCZ65642 OMV65542:OMV65642 OWR65542:OWR65642 PGN65542:PGN65642 PQJ65542:PQJ65642 QAF65542:QAF65642 QKB65542:QKB65642 QTX65542:QTX65642 RDT65542:RDT65642 RNP65542:RNP65642 RXL65542:RXL65642 SHH65542:SHH65642 SRD65542:SRD65642 TAZ65542:TAZ65642 TKV65542:TKV65642 TUR65542:TUR65642 UEN65542:UEN65642 UOJ65542:UOJ65642 UYF65542:UYF65642 VIB65542:VIB65642 VRX65542:VRX65642 WBT65542:WBT65642 WLP65542:WLP65642 WVL65542:WVL65642 D131078:D131178 IZ131078:IZ131178 SV131078:SV131178 ACR131078:ACR131178 AMN131078:AMN131178 AWJ131078:AWJ131178 BGF131078:BGF131178 BQB131078:BQB131178 BZX131078:BZX131178 CJT131078:CJT131178 CTP131078:CTP131178 DDL131078:DDL131178 DNH131078:DNH131178 DXD131078:DXD131178 EGZ131078:EGZ131178 EQV131078:EQV131178 FAR131078:FAR131178 FKN131078:FKN131178 FUJ131078:FUJ131178 GEF131078:GEF131178 GOB131078:GOB131178 GXX131078:GXX131178 HHT131078:HHT131178 HRP131078:HRP131178 IBL131078:IBL131178 ILH131078:ILH131178 IVD131078:IVD131178 JEZ131078:JEZ131178 JOV131078:JOV131178 JYR131078:JYR131178 KIN131078:KIN131178 KSJ131078:KSJ131178 LCF131078:LCF131178 LMB131078:LMB131178 LVX131078:LVX131178 MFT131078:MFT131178 MPP131078:MPP131178 MZL131078:MZL131178 NJH131078:NJH131178 NTD131078:NTD131178 OCZ131078:OCZ131178 OMV131078:OMV131178 OWR131078:OWR131178 PGN131078:PGN131178 PQJ131078:PQJ131178 QAF131078:QAF131178 QKB131078:QKB131178 QTX131078:QTX131178 RDT131078:RDT131178 RNP131078:RNP131178 RXL131078:RXL131178 SHH131078:SHH131178 SRD131078:SRD131178 TAZ131078:TAZ131178 TKV131078:TKV131178 TUR131078:TUR131178 UEN131078:UEN131178 UOJ131078:UOJ131178 UYF131078:UYF131178 VIB131078:VIB131178 VRX131078:VRX131178 WBT131078:WBT131178 WLP131078:WLP131178 WVL131078:WVL131178 D196614:D196714 IZ196614:IZ196714 SV196614:SV196714 ACR196614:ACR196714 AMN196614:AMN196714 AWJ196614:AWJ196714 BGF196614:BGF196714 BQB196614:BQB196714 BZX196614:BZX196714 CJT196614:CJT196714 CTP196614:CTP196714 DDL196614:DDL196714 DNH196614:DNH196714 DXD196614:DXD196714 EGZ196614:EGZ196714 EQV196614:EQV196714 FAR196614:FAR196714 FKN196614:FKN196714 FUJ196614:FUJ196714 GEF196614:GEF196714 GOB196614:GOB196714 GXX196614:GXX196714 HHT196614:HHT196714 HRP196614:HRP196714 IBL196614:IBL196714 ILH196614:ILH196714 IVD196614:IVD196714 JEZ196614:JEZ196714 JOV196614:JOV196714 JYR196614:JYR196714 KIN196614:KIN196714 KSJ196614:KSJ196714 LCF196614:LCF196714 LMB196614:LMB196714 LVX196614:LVX196714 MFT196614:MFT196714 MPP196614:MPP196714 MZL196614:MZL196714 NJH196614:NJH196714 NTD196614:NTD196714 OCZ196614:OCZ196714 OMV196614:OMV196714 OWR196614:OWR196714 PGN196614:PGN196714 PQJ196614:PQJ196714 QAF196614:QAF196714 QKB196614:QKB196714 QTX196614:QTX196714 RDT196614:RDT196714 RNP196614:RNP196714 RXL196614:RXL196714 SHH196614:SHH196714 SRD196614:SRD196714 TAZ196614:TAZ196714 TKV196614:TKV196714 TUR196614:TUR196714 UEN196614:UEN196714 UOJ196614:UOJ196714 UYF196614:UYF196714 VIB196614:VIB196714 VRX196614:VRX196714 WBT196614:WBT196714 WLP196614:WLP196714 WVL196614:WVL196714 D262150:D262250 IZ262150:IZ262250 SV262150:SV262250 ACR262150:ACR262250 AMN262150:AMN262250 AWJ262150:AWJ262250 BGF262150:BGF262250 BQB262150:BQB262250 BZX262150:BZX262250 CJT262150:CJT262250 CTP262150:CTP262250 DDL262150:DDL262250 DNH262150:DNH262250 DXD262150:DXD262250 EGZ262150:EGZ262250 EQV262150:EQV262250 FAR262150:FAR262250 FKN262150:FKN262250 FUJ262150:FUJ262250 GEF262150:GEF262250 GOB262150:GOB262250 GXX262150:GXX262250 HHT262150:HHT262250 HRP262150:HRP262250 IBL262150:IBL262250 ILH262150:ILH262250 IVD262150:IVD262250 JEZ262150:JEZ262250 JOV262150:JOV262250 JYR262150:JYR262250 KIN262150:KIN262250 KSJ262150:KSJ262250 LCF262150:LCF262250 LMB262150:LMB262250 LVX262150:LVX262250 MFT262150:MFT262250 MPP262150:MPP262250 MZL262150:MZL262250 NJH262150:NJH262250 NTD262150:NTD262250 OCZ262150:OCZ262250 OMV262150:OMV262250 OWR262150:OWR262250 PGN262150:PGN262250 PQJ262150:PQJ262250 QAF262150:QAF262250 QKB262150:QKB262250 QTX262150:QTX262250 RDT262150:RDT262250 RNP262150:RNP262250 RXL262150:RXL262250 SHH262150:SHH262250 SRD262150:SRD262250 TAZ262150:TAZ262250 TKV262150:TKV262250 TUR262150:TUR262250 UEN262150:UEN262250 UOJ262150:UOJ262250 UYF262150:UYF262250 VIB262150:VIB262250 VRX262150:VRX262250 WBT262150:WBT262250 WLP262150:WLP262250 WVL262150:WVL262250 D327686:D327786 IZ327686:IZ327786 SV327686:SV327786 ACR327686:ACR327786 AMN327686:AMN327786 AWJ327686:AWJ327786 BGF327686:BGF327786 BQB327686:BQB327786 BZX327686:BZX327786 CJT327686:CJT327786 CTP327686:CTP327786 DDL327686:DDL327786 DNH327686:DNH327786 DXD327686:DXD327786 EGZ327686:EGZ327786 EQV327686:EQV327786 FAR327686:FAR327786 FKN327686:FKN327786 FUJ327686:FUJ327786 GEF327686:GEF327786 GOB327686:GOB327786 GXX327686:GXX327786 HHT327686:HHT327786 HRP327686:HRP327786 IBL327686:IBL327786 ILH327686:ILH327786 IVD327686:IVD327786 JEZ327686:JEZ327786 JOV327686:JOV327786 JYR327686:JYR327786 KIN327686:KIN327786 KSJ327686:KSJ327786 LCF327686:LCF327786 LMB327686:LMB327786 LVX327686:LVX327786 MFT327686:MFT327786 MPP327686:MPP327786 MZL327686:MZL327786 NJH327686:NJH327786 NTD327686:NTD327786 OCZ327686:OCZ327786 OMV327686:OMV327786 OWR327686:OWR327786 PGN327686:PGN327786 PQJ327686:PQJ327786 QAF327686:QAF327786 QKB327686:QKB327786 QTX327686:QTX327786 RDT327686:RDT327786 RNP327686:RNP327786 RXL327686:RXL327786 SHH327686:SHH327786 SRD327686:SRD327786 TAZ327686:TAZ327786 TKV327686:TKV327786 TUR327686:TUR327786 UEN327686:UEN327786 UOJ327686:UOJ327786 UYF327686:UYF327786 VIB327686:VIB327786 VRX327686:VRX327786 WBT327686:WBT327786 WLP327686:WLP327786 WVL327686:WVL327786 D393222:D393322 IZ393222:IZ393322 SV393222:SV393322 ACR393222:ACR393322 AMN393222:AMN393322 AWJ393222:AWJ393322 BGF393222:BGF393322 BQB393222:BQB393322 BZX393222:BZX393322 CJT393222:CJT393322 CTP393222:CTP393322 DDL393222:DDL393322 DNH393222:DNH393322 DXD393222:DXD393322 EGZ393222:EGZ393322 EQV393222:EQV393322 FAR393222:FAR393322 FKN393222:FKN393322 FUJ393222:FUJ393322 GEF393222:GEF393322 GOB393222:GOB393322 GXX393222:GXX393322 HHT393222:HHT393322 HRP393222:HRP393322 IBL393222:IBL393322 ILH393222:ILH393322 IVD393222:IVD393322 JEZ393222:JEZ393322 JOV393222:JOV393322 JYR393222:JYR393322 KIN393222:KIN393322 KSJ393222:KSJ393322 LCF393222:LCF393322 LMB393222:LMB393322 LVX393222:LVX393322 MFT393222:MFT393322 MPP393222:MPP393322 MZL393222:MZL393322 NJH393222:NJH393322 NTD393222:NTD393322 OCZ393222:OCZ393322 OMV393222:OMV393322 OWR393222:OWR393322 PGN393222:PGN393322 PQJ393222:PQJ393322 QAF393222:QAF393322 QKB393222:QKB393322 QTX393222:QTX393322 RDT393222:RDT393322 RNP393222:RNP393322 RXL393222:RXL393322 SHH393222:SHH393322 SRD393222:SRD393322 TAZ393222:TAZ393322 TKV393222:TKV393322 TUR393222:TUR393322 UEN393222:UEN393322 UOJ393222:UOJ393322 UYF393222:UYF393322 VIB393222:VIB393322 VRX393222:VRX393322 WBT393222:WBT393322 WLP393222:WLP393322 WVL393222:WVL393322 D458758:D458858 IZ458758:IZ458858 SV458758:SV458858 ACR458758:ACR458858 AMN458758:AMN458858 AWJ458758:AWJ458858 BGF458758:BGF458858 BQB458758:BQB458858 BZX458758:BZX458858 CJT458758:CJT458858 CTP458758:CTP458858 DDL458758:DDL458858 DNH458758:DNH458858 DXD458758:DXD458858 EGZ458758:EGZ458858 EQV458758:EQV458858 FAR458758:FAR458858 FKN458758:FKN458858 FUJ458758:FUJ458858 GEF458758:GEF458858 GOB458758:GOB458858 GXX458758:GXX458858 HHT458758:HHT458858 HRP458758:HRP458858 IBL458758:IBL458858 ILH458758:ILH458858 IVD458758:IVD458858 JEZ458758:JEZ458858 JOV458758:JOV458858 JYR458758:JYR458858 KIN458758:KIN458858 KSJ458758:KSJ458858 LCF458758:LCF458858 LMB458758:LMB458858 LVX458758:LVX458858 MFT458758:MFT458858 MPP458758:MPP458858 MZL458758:MZL458858 NJH458758:NJH458858 NTD458758:NTD458858 OCZ458758:OCZ458858 OMV458758:OMV458858 OWR458758:OWR458858 PGN458758:PGN458858 PQJ458758:PQJ458858 QAF458758:QAF458858 QKB458758:QKB458858 QTX458758:QTX458858 RDT458758:RDT458858 RNP458758:RNP458858 RXL458758:RXL458858 SHH458758:SHH458858 SRD458758:SRD458858 TAZ458758:TAZ458858 TKV458758:TKV458858 TUR458758:TUR458858 UEN458758:UEN458858 UOJ458758:UOJ458858 UYF458758:UYF458858 VIB458758:VIB458858 VRX458758:VRX458858 WBT458758:WBT458858 WLP458758:WLP458858 WVL458758:WVL458858 D524294:D524394 IZ524294:IZ524394 SV524294:SV524394 ACR524294:ACR524394 AMN524294:AMN524394 AWJ524294:AWJ524394 BGF524294:BGF524394 BQB524294:BQB524394 BZX524294:BZX524394 CJT524294:CJT524394 CTP524294:CTP524394 DDL524294:DDL524394 DNH524294:DNH524394 DXD524294:DXD524394 EGZ524294:EGZ524394 EQV524294:EQV524394 FAR524294:FAR524394 FKN524294:FKN524394 FUJ524294:FUJ524394 GEF524294:GEF524394 GOB524294:GOB524394 GXX524294:GXX524394 HHT524294:HHT524394 HRP524294:HRP524394 IBL524294:IBL524394 ILH524294:ILH524394 IVD524294:IVD524394 JEZ524294:JEZ524394 JOV524294:JOV524394 JYR524294:JYR524394 KIN524294:KIN524394 KSJ524294:KSJ524394 LCF524294:LCF524394 LMB524294:LMB524394 LVX524294:LVX524394 MFT524294:MFT524394 MPP524294:MPP524394 MZL524294:MZL524394 NJH524294:NJH524394 NTD524294:NTD524394 OCZ524294:OCZ524394 OMV524294:OMV524394 OWR524294:OWR524394 PGN524294:PGN524394 PQJ524294:PQJ524394 QAF524294:QAF524394 QKB524294:QKB524394 QTX524294:QTX524394 RDT524294:RDT524394 RNP524294:RNP524394 RXL524294:RXL524394 SHH524294:SHH524394 SRD524294:SRD524394 TAZ524294:TAZ524394 TKV524294:TKV524394 TUR524294:TUR524394 UEN524294:UEN524394 UOJ524294:UOJ524394 UYF524294:UYF524394 VIB524294:VIB524394 VRX524294:VRX524394 WBT524294:WBT524394 WLP524294:WLP524394 WVL524294:WVL524394 D589830:D589930 IZ589830:IZ589930 SV589830:SV589930 ACR589830:ACR589930 AMN589830:AMN589930 AWJ589830:AWJ589930 BGF589830:BGF589930 BQB589830:BQB589930 BZX589830:BZX589930 CJT589830:CJT589930 CTP589830:CTP589930 DDL589830:DDL589930 DNH589830:DNH589930 DXD589830:DXD589930 EGZ589830:EGZ589930 EQV589830:EQV589930 FAR589830:FAR589930 FKN589830:FKN589930 FUJ589830:FUJ589930 GEF589830:GEF589930 GOB589830:GOB589930 GXX589830:GXX589930 HHT589830:HHT589930 HRP589830:HRP589930 IBL589830:IBL589930 ILH589830:ILH589930 IVD589830:IVD589930 JEZ589830:JEZ589930 JOV589830:JOV589930 JYR589830:JYR589930 KIN589830:KIN589930 KSJ589830:KSJ589930 LCF589830:LCF589930 LMB589830:LMB589930 LVX589830:LVX589930 MFT589830:MFT589930 MPP589830:MPP589930 MZL589830:MZL589930 NJH589830:NJH589930 NTD589830:NTD589930 OCZ589830:OCZ589930 OMV589830:OMV589930 OWR589830:OWR589930 PGN589830:PGN589930 PQJ589830:PQJ589930 QAF589830:QAF589930 QKB589830:QKB589930 QTX589830:QTX589930 RDT589830:RDT589930 RNP589830:RNP589930 RXL589830:RXL589930 SHH589830:SHH589930 SRD589830:SRD589930 TAZ589830:TAZ589930 TKV589830:TKV589930 TUR589830:TUR589930 UEN589830:UEN589930 UOJ589830:UOJ589930 UYF589830:UYF589930 VIB589830:VIB589930 VRX589830:VRX589930 WBT589830:WBT589930 WLP589830:WLP589930 WVL589830:WVL589930 D655366:D655466 IZ655366:IZ655466 SV655366:SV655466 ACR655366:ACR655466 AMN655366:AMN655466 AWJ655366:AWJ655466 BGF655366:BGF655466 BQB655366:BQB655466 BZX655366:BZX655466 CJT655366:CJT655466 CTP655366:CTP655466 DDL655366:DDL655466 DNH655366:DNH655466 DXD655366:DXD655466 EGZ655366:EGZ655466 EQV655366:EQV655466 FAR655366:FAR655466 FKN655366:FKN655466 FUJ655366:FUJ655466 GEF655366:GEF655466 GOB655366:GOB655466 GXX655366:GXX655466 HHT655366:HHT655466 HRP655366:HRP655466 IBL655366:IBL655466 ILH655366:ILH655466 IVD655366:IVD655466 JEZ655366:JEZ655466 JOV655366:JOV655466 JYR655366:JYR655466 KIN655366:KIN655466 KSJ655366:KSJ655466 LCF655366:LCF655466 LMB655366:LMB655466 LVX655366:LVX655466 MFT655366:MFT655466 MPP655366:MPP655466 MZL655366:MZL655466 NJH655366:NJH655466 NTD655366:NTD655466 OCZ655366:OCZ655466 OMV655366:OMV655466 OWR655366:OWR655466 PGN655366:PGN655466 PQJ655366:PQJ655466 QAF655366:QAF655466 QKB655366:QKB655466 QTX655366:QTX655466 RDT655366:RDT655466 RNP655366:RNP655466 RXL655366:RXL655466 SHH655366:SHH655466 SRD655366:SRD655466 TAZ655366:TAZ655466 TKV655366:TKV655466 TUR655366:TUR655466 UEN655366:UEN655466 UOJ655366:UOJ655466 UYF655366:UYF655466 VIB655366:VIB655466 VRX655366:VRX655466 WBT655366:WBT655466 WLP655366:WLP655466 WVL655366:WVL655466 D720902:D721002 IZ720902:IZ721002 SV720902:SV721002 ACR720902:ACR721002 AMN720902:AMN721002 AWJ720902:AWJ721002 BGF720902:BGF721002 BQB720902:BQB721002 BZX720902:BZX721002 CJT720902:CJT721002 CTP720902:CTP721002 DDL720902:DDL721002 DNH720902:DNH721002 DXD720902:DXD721002 EGZ720902:EGZ721002 EQV720902:EQV721002 FAR720902:FAR721002 FKN720902:FKN721002 FUJ720902:FUJ721002 GEF720902:GEF721002 GOB720902:GOB721002 GXX720902:GXX721002 HHT720902:HHT721002 HRP720902:HRP721002 IBL720902:IBL721002 ILH720902:ILH721002 IVD720902:IVD721002 JEZ720902:JEZ721002 JOV720902:JOV721002 JYR720902:JYR721002 KIN720902:KIN721002 KSJ720902:KSJ721002 LCF720902:LCF721002 LMB720902:LMB721002 LVX720902:LVX721002 MFT720902:MFT721002 MPP720902:MPP721002 MZL720902:MZL721002 NJH720902:NJH721002 NTD720902:NTD721002 OCZ720902:OCZ721002 OMV720902:OMV721002 OWR720902:OWR721002 PGN720902:PGN721002 PQJ720902:PQJ721002 QAF720902:QAF721002 QKB720902:QKB721002 QTX720902:QTX721002 RDT720902:RDT721002 RNP720902:RNP721002 RXL720902:RXL721002 SHH720902:SHH721002 SRD720902:SRD721002 TAZ720902:TAZ721002 TKV720902:TKV721002 TUR720902:TUR721002 UEN720902:UEN721002 UOJ720902:UOJ721002 UYF720902:UYF721002 VIB720902:VIB721002 VRX720902:VRX721002 WBT720902:WBT721002 WLP720902:WLP721002 WVL720902:WVL721002 D786438:D786538 IZ786438:IZ786538 SV786438:SV786538 ACR786438:ACR786538 AMN786438:AMN786538 AWJ786438:AWJ786538 BGF786438:BGF786538 BQB786438:BQB786538 BZX786438:BZX786538 CJT786438:CJT786538 CTP786438:CTP786538 DDL786438:DDL786538 DNH786438:DNH786538 DXD786438:DXD786538 EGZ786438:EGZ786538 EQV786438:EQV786538 FAR786438:FAR786538 FKN786438:FKN786538 FUJ786438:FUJ786538 GEF786438:GEF786538 GOB786438:GOB786538 GXX786438:GXX786538 HHT786438:HHT786538 HRP786438:HRP786538 IBL786438:IBL786538 ILH786438:ILH786538 IVD786438:IVD786538 JEZ786438:JEZ786538 JOV786438:JOV786538 JYR786438:JYR786538 KIN786438:KIN786538 KSJ786438:KSJ786538 LCF786438:LCF786538 LMB786438:LMB786538 LVX786438:LVX786538 MFT786438:MFT786538 MPP786438:MPP786538 MZL786438:MZL786538 NJH786438:NJH786538 NTD786438:NTD786538 OCZ786438:OCZ786538 OMV786438:OMV786538 OWR786438:OWR786538 PGN786438:PGN786538 PQJ786438:PQJ786538 QAF786438:QAF786538 QKB786438:QKB786538 QTX786438:QTX786538 RDT786438:RDT786538 RNP786438:RNP786538 RXL786438:RXL786538 SHH786438:SHH786538 SRD786438:SRD786538 TAZ786438:TAZ786538 TKV786438:TKV786538 TUR786438:TUR786538 UEN786438:UEN786538 UOJ786438:UOJ786538 UYF786438:UYF786538 VIB786438:VIB786538 VRX786438:VRX786538 WBT786438:WBT786538 WLP786438:WLP786538 WVL786438:WVL786538 D851974:D852074 IZ851974:IZ852074 SV851974:SV852074 ACR851974:ACR852074 AMN851974:AMN852074 AWJ851974:AWJ852074 BGF851974:BGF852074 BQB851974:BQB852074 BZX851974:BZX852074 CJT851974:CJT852074 CTP851974:CTP852074 DDL851974:DDL852074 DNH851974:DNH852074 DXD851974:DXD852074 EGZ851974:EGZ852074 EQV851974:EQV852074 FAR851974:FAR852074 FKN851974:FKN852074 FUJ851974:FUJ852074 GEF851974:GEF852074 GOB851974:GOB852074 GXX851974:GXX852074 HHT851974:HHT852074 HRP851974:HRP852074 IBL851974:IBL852074 ILH851974:ILH852074 IVD851974:IVD852074 JEZ851974:JEZ852074 JOV851974:JOV852074 JYR851974:JYR852074 KIN851974:KIN852074 KSJ851974:KSJ852074 LCF851974:LCF852074 LMB851974:LMB852074 LVX851974:LVX852074 MFT851974:MFT852074 MPP851974:MPP852074 MZL851974:MZL852074 NJH851974:NJH852074 NTD851974:NTD852074 OCZ851974:OCZ852074 OMV851974:OMV852074 OWR851974:OWR852074 PGN851974:PGN852074 PQJ851974:PQJ852074 QAF851974:QAF852074 QKB851974:QKB852074 QTX851974:QTX852074 RDT851974:RDT852074 RNP851974:RNP852074 RXL851974:RXL852074 SHH851974:SHH852074 SRD851974:SRD852074 TAZ851974:TAZ852074 TKV851974:TKV852074 TUR851974:TUR852074 UEN851974:UEN852074 UOJ851974:UOJ852074 UYF851974:UYF852074 VIB851974:VIB852074 VRX851974:VRX852074 WBT851974:WBT852074 WLP851974:WLP852074 WVL851974:WVL852074 D917510:D917610 IZ917510:IZ917610 SV917510:SV917610 ACR917510:ACR917610 AMN917510:AMN917610 AWJ917510:AWJ917610 BGF917510:BGF917610 BQB917510:BQB917610 BZX917510:BZX917610 CJT917510:CJT917610 CTP917510:CTP917610 DDL917510:DDL917610 DNH917510:DNH917610 DXD917510:DXD917610 EGZ917510:EGZ917610 EQV917510:EQV917610 FAR917510:FAR917610 FKN917510:FKN917610 FUJ917510:FUJ917610 GEF917510:GEF917610 GOB917510:GOB917610 GXX917510:GXX917610 HHT917510:HHT917610 HRP917510:HRP917610 IBL917510:IBL917610 ILH917510:ILH917610 IVD917510:IVD917610 JEZ917510:JEZ917610 JOV917510:JOV917610 JYR917510:JYR917610 KIN917510:KIN917610 KSJ917510:KSJ917610 LCF917510:LCF917610 LMB917510:LMB917610 LVX917510:LVX917610 MFT917510:MFT917610 MPP917510:MPP917610 MZL917510:MZL917610 NJH917510:NJH917610 NTD917510:NTD917610 OCZ917510:OCZ917610 OMV917510:OMV917610 OWR917510:OWR917610 PGN917510:PGN917610 PQJ917510:PQJ917610 QAF917510:QAF917610 QKB917510:QKB917610 QTX917510:QTX917610 RDT917510:RDT917610 RNP917510:RNP917610 RXL917510:RXL917610 SHH917510:SHH917610 SRD917510:SRD917610 TAZ917510:TAZ917610 TKV917510:TKV917610 TUR917510:TUR917610 UEN917510:UEN917610 UOJ917510:UOJ917610 UYF917510:UYF917610 VIB917510:VIB917610 VRX917510:VRX917610 WBT917510:WBT917610 WLP917510:WLP917610 WVL917510:WVL917610 D983046:D983146 IZ983046:IZ983146 SV983046:SV983146 ACR983046:ACR983146 AMN983046:AMN983146 AWJ983046:AWJ983146 BGF983046:BGF983146 BQB983046:BQB983146 BZX983046:BZX983146 CJT983046:CJT983146 CTP983046:CTP983146 DDL983046:DDL983146 DNH983046:DNH983146 DXD983046:DXD983146 EGZ983046:EGZ983146 EQV983046:EQV983146 FAR983046:FAR983146 FKN983046:FKN983146 FUJ983046:FUJ983146 GEF983046:GEF983146 GOB983046:GOB983146 GXX983046:GXX983146 HHT983046:HHT983146 HRP983046:HRP983146 IBL983046:IBL983146 ILH983046:ILH983146 IVD983046:IVD983146 JEZ983046:JEZ983146 JOV983046:JOV983146 JYR983046:JYR983146 KIN983046:KIN983146 KSJ983046:KSJ983146 LCF983046:LCF983146 LMB983046:LMB983146 LVX983046:LVX983146 MFT983046:MFT983146 MPP983046:MPP983146 MZL983046:MZL983146 NJH983046:NJH983146 NTD983046:NTD983146 OCZ983046:OCZ983146 OMV983046:OMV983146 OWR983046:OWR983146 PGN983046:PGN983146 PQJ983046:PQJ983146 QAF983046:QAF983146 QKB983046:QKB983146 QTX983046:QTX983146 RDT983046:RDT983146 RNP983046:RNP983146 RXL983046:RXL983146 SHH983046:SHH983146 SRD983046:SRD983146 TAZ983046:TAZ983146 TKV983046:TKV983146 TUR983046:TUR983146 UEN983046:UEN983146 UOJ983046:UOJ983146 UYF983046:UYF983146 VIB983046:VIB983146 VRX983046:VRX983146 WBT983046:WBT983146 WLP983046:WLP983146 WVL983046:WVL983146" xr:uid="{00000000-0002-0000-0000-000001000000}">
      <formula1>categories</formula1>
    </dataValidation>
    <dataValidation type="list" allowBlank="1" showInputMessage="1" showErrorMessage="1" sqref="E1 JA1 SW1 ACS1 AMO1 AWK1 BGG1 BQC1 BZY1 CJU1 CTQ1 DDM1 DNI1 DXE1 EHA1 EQW1 FAS1 FKO1 FUK1 GEG1 GOC1 GXY1 HHU1 HRQ1 IBM1 ILI1 IVE1 JFA1 JOW1 JYS1 KIO1 KSK1 LCG1 LMC1 LVY1 MFU1 MPQ1 MZM1 NJI1 NTE1 ODA1 OMW1 OWS1 PGO1 PQK1 QAG1 QKC1 QTY1 RDU1 RNQ1 RXM1 SHI1 SRE1 TBA1 TKW1 TUS1 UEO1 UOK1 UYG1 VIC1 VRY1 WBU1 WLQ1 WVM1 E65537 JA65537 SW65537 ACS65537 AMO65537 AWK65537 BGG65537 BQC65537 BZY65537 CJU65537 CTQ65537 DDM65537 DNI65537 DXE65537 EHA65537 EQW65537 FAS65537 FKO65537 FUK65537 GEG65537 GOC65537 GXY65537 HHU65537 HRQ65537 IBM65537 ILI65537 IVE65537 JFA65537 JOW65537 JYS65537 KIO65537 KSK65537 LCG65537 LMC65537 LVY65537 MFU65537 MPQ65537 MZM65537 NJI65537 NTE65537 ODA65537 OMW65537 OWS65537 PGO65537 PQK65537 QAG65537 QKC65537 QTY65537 RDU65537 RNQ65537 RXM65537 SHI65537 SRE65537 TBA65537 TKW65537 TUS65537 UEO65537 UOK65537 UYG65537 VIC65537 VRY65537 WBU65537 WLQ65537 WVM65537 E131073 JA131073 SW131073 ACS131073 AMO131073 AWK131073 BGG131073 BQC131073 BZY131073 CJU131073 CTQ131073 DDM131073 DNI131073 DXE131073 EHA131073 EQW131073 FAS131073 FKO131073 FUK131073 GEG131073 GOC131073 GXY131073 HHU131073 HRQ131073 IBM131073 ILI131073 IVE131073 JFA131073 JOW131073 JYS131073 KIO131073 KSK131073 LCG131073 LMC131073 LVY131073 MFU131073 MPQ131073 MZM131073 NJI131073 NTE131073 ODA131073 OMW131073 OWS131073 PGO131073 PQK131073 QAG131073 QKC131073 QTY131073 RDU131073 RNQ131073 RXM131073 SHI131073 SRE131073 TBA131073 TKW131073 TUS131073 UEO131073 UOK131073 UYG131073 VIC131073 VRY131073 WBU131073 WLQ131073 WVM131073 E196609 JA196609 SW196609 ACS196609 AMO196609 AWK196609 BGG196609 BQC196609 BZY196609 CJU196609 CTQ196609 DDM196609 DNI196609 DXE196609 EHA196609 EQW196609 FAS196609 FKO196609 FUK196609 GEG196609 GOC196609 GXY196609 HHU196609 HRQ196609 IBM196609 ILI196609 IVE196609 JFA196609 JOW196609 JYS196609 KIO196609 KSK196609 LCG196609 LMC196609 LVY196609 MFU196609 MPQ196609 MZM196609 NJI196609 NTE196609 ODA196609 OMW196609 OWS196609 PGO196609 PQK196609 QAG196609 QKC196609 QTY196609 RDU196609 RNQ196609 RXM196609 SHI196609 SRE196609 TBA196609 TKW196609 TUS196609 UEO196609 UOK196609 UYG196609 VIC196609 VRY196609 WBU196609 WLQ196609 WVM196609 E262145 JA262145 SW262145 ACS262145 AMO262145 AWK262145 BGG262145 BQC262145 BZY262145 CJU262145 CTQ262145 DDM262145 DNI262145 DXE262145 EHA262145 EQW262145 FAS262145 FKO262145 FUK262145 GEG262145 GOC262145 GXY262145 HHU262145 HRQ262145 IBM262145 ILI262145 IVE262145 JFA262145 JOW262145 JYS262145 KIO262145 KSK262145 LCG262145 LMC262145 LVY262145 MFU262145 MPQ262145 MZM262145 NJI262145 NTE262145 ODA262145 OMW262145 OWS262145 PGO262145 PQK262145 QAG262145 QKC262145 QTY262145 RDU262145 RNQ262145 RXM262145 SHI262145 SRE262145 TBA262145 TKW262145 TUS262145 UEO262145 UOK262145 UYG262145 VIC262145 VRY262145 WBU262145 WLQ262145 WVM262145 E327681 JA327681 SW327681 ACS327681 AMO327681 AWK327681 BGG327681 BQC327681 BZY327681 CJU327681 CTQ327681 DDM327681 DNI327681 DXE327681 EHA327681 EQW327681 FAS327681 FKO327681 FUK327681 GEG327681 GOC327681 GXY327681 HHU327681 HRQ327681 IBM327681 ILI327681 IVE327681 JFA327681 JOW327681 JYS327681 KIO327681 KSK327681 LCG327681 LMC327681 LVY327681 MFU327681 MPQ327681 MZM327681 NJI327681 NTE327681 ODA327681 OMW327681 OWS327681 PGO327681 PQK327681 QAG327681 QKC327681 QTY327681 RDU327681 RNQ327681 RXM327681 SHI327681 SRE327681 TBA327681 TKW327681 TUS327681 UEO327681 UOK327681 UYG327681 VIC327681 VRY327681 WBU327681 WLQ327681 WVM327681 E393217 JA393217 SW393217 ACS393217 AMO393217 AWK393217 BGG393217 BQC393217 BZY393217 CJU393217 CTQ393217 DDM393217 DNI393217 DXE393217 EHA393217 EQW393217 FAS393217 FKO393217 FUK393217 GEG393217 GOC393217 GXY393217 HHU393217 HRQ393217 IBM393217 ILI393217 IVE393217 JFA393217 JOW393217 JYS393217 KIO393217 KSK393217 LCG393217 LMC393217 LVY393217 MFU393217 MPQ393217 MZM393217 NJI393217 NTE393217 ODA393217 OMW393217 OWS393217 PGO393217 PQK393217 QAG393217 QKC393217 QTY393217 RDU393217 RNQ393217 RXM393217 SHI393217 SRE393217 TBA393217 TKW393217 TUS393217 UEO393217 UOK393217 UYG393217 VIC393217 VRY393217 WBU393217 WLQ393217 WVM393217 E458753 JA458753 SW458753 ACS458753 AMO458753 AWK458753 BGG458753 BQC458753 BZY458753 CJU458753 CTQ458753 DDM458753 DNI458753 DXE458753 EHA458753 EQW458753 FAS458753 FKO458753 FUK458753 GEG458753 GOC458753 GXY458753 HHU458753 HRQ458753 IBM458753 ILI458753 IVE458753 JFA458753 JOW458753 JYS458753 KIO458753 KSK458753 LCG458753 LMC458753 LVY458753 MFU458753 MPQ458753 MZM458753 NJI458753 NTE458753 ODA458753 OMW458753 OWS458753 PGO458753 PQK458753 QAG458753 QKC458753 QTY458753 RDU458753 RNQ458753 RXM458753 SHI458753 SRE458753 TBA458753 TKW458753 TUS458753 UEO458753 UOK458753 UYG458753 VIC458753 VRY458753 WBU458753 WLQ458753 WVM458753 E524289 JA524289 SW524289 ACS524289 AMO524289 AWK524289 BGG524289 BQC524289 BZY524289 CJU524289 CTQ524289 DDM524289 DNI524289 DXE524289 EHA524289 EQW524289 FAS524289 FKO524289 FUK524289 GEG524289 GOC524289 GXY524289 HHU524289 HRQ524289 IBM524289 ILI524289 IVE524289 JFA524289 JOW524289 JYS524289 KIO524289 KSK524289 LCG524289 LMC524289 LVY524289 MFU524289 MPQ524289 MZM524289 NJI524289 NTE524289 ODA524289 OMW524289 OWS524289 PGO524289 PQK524289 QAG524289 QKC524289 QTY524289 RDU524289 RNQ524289 RXM524289 SHI524289 SRE524289 TBA524289 TKW524289 TUS524289 UEO524289 UOK524289 UYG524289 VIC524289 VRY524289 WBU524289 WLQ524289 WVM524289 E589825 JA589825 SW589825 ACS589825 AMO589825 AWK589825 BGG589825 BQC589825 BZY589825 CJU589825 CTQ589825 DDM589825 DNI589825 DXE589825 EHA589825 EQW589825 FAS589825 FKO589825 FUK589825 GEG589825 GOC589825 GXY589825 HHU589825 HRQ589825 IBM589825 ILI589825 IVE589825 JFA589825 JOW589825 JYS589825 KIO589825 KSK589825 LCG589825 LMC589825 LVY589825 MFU589825 MPQ589825 MZM589825 NJI589825 NTE589825 ODA589825 OMW589825 OWS589825 PGO589825 PQK589825 QAG589825 QKC589825 QTY589825 RDU589825 RNQ589825 RXM589825 SHI589825 SRE589825 TBA589825 TKW589825 TUS589825 UEO589825 UOK589825 UYG589825 VIC589825 VRY589825 WBU589825 WLQ589825 WVM589825 E655361 JA655361 SW655361 ACS655361 AMO655361 AWK655361 BGG655361 BQC655361 BZY655361 CJU655361 CTQ655361 DDM655361 DNI655361 DXE655361 EHA655361 EQW655361 FAS655361 FKO655361 FUK655361 GEG655361 GOC655361 GXY655361 HHU655361 HRQ655361 IBM655361 ILI655361 IVE655361 JFA655361 JOW655361 JYS655361 KIO655361 KSK655361 LCG655361 LMC655361 LVY655361 MFU655361 MPQ655361 MZM655361 NJI655361 NTE655361 ODA655361 OMW655361 OWS655361 PGO655361 PQK655361 QAG655361 QKC655361 QTY655361 RDU655361 RNQ655361 RXM655361 SHI655361 SRE655361 TBA655361 TKW655361 TUS655361 UEO655361 UOK655361 UYG655361 VIC655361 VRY655361 WBU655361 WLQ655361 WVM655361 E720897 JA720897 SW720897 ACS720897 AMO720897 AWK720897 BGG720897 BQC720897 BZY720897 CJU720897 CTQ720897 DDM720897 DNI720897 DXE720897 EHA720897 EQW720897 FAS720897 FKO720897 FUK720897 GEG720897 GOC720897 GXY720897 HHU720897 HRQ720897 IBM720897 ILI720897 IVE720897 JFA720897 JOW720897 JYS720897 KIO720897 KSK720897 LCG720897 LMC720897 LVY720897 MFU720897 MPQ720897 MZM720897 NJI720897 NTE720897 ODA720897 OMW720897 OWS720897 PGO720897 PQK720897 QAG720897 QKC720897 QTY720897 RDU720897 RNQ720897 RXM720897 SHI720897 SRE720897 TBA720897 TKW720897 TUS720897 UEO720897 UOK720897 UYG720897 VIC720897 VRY720897 WBU720897 WLQ720897 WVM720897 E786433 JA786433 SW786433 ACS786433 AMO786433 AWK786433 BGG786433 BQC786433 BZY786433 CJU786433 CTQ786433 DDM786433 DNI786433 DXE786433 EHA786433 EQW786433 FAS786433 FKO786433 FUK786433 GEG786433 GOC786433 GXY786433 HHU786433 HRQ786433 IBM786433 ILI786433 IVE786433 JFA786433 JOW786433 JYS786433 KIO786433 KSK786433 LCG786433 LMC786433 LVY786433 MFU786433 MPQ786433 MZM786433 NJI786433 NTE786433 ODA786433 OMW786433 OWS786433 PGO786433 PQK786433 QAG786433 QKC786433 QTY786433 RDU786433 RNQ786433 RXM786433 SHI786433 SRE786433 TBA786433 TKW786433 TUS786433 UEO786433 UOK786433 UYG786433 VIC786433 VRY786433 WBU786433 WLQ786433 WVM786433 E851969 JA851969 SW851969 ACS851969 AMO851969 AWK851969 BGG851969 BQC851969 BZY851969 CJU851969 CTQ851969 DDM851969 DNI851969 DXE851969 EHA851969 EQW851969 FAS851969 FKO851969 FUK851969 GEG851969 GOC851969 GXY851969 HHU851969 HRQ851969 IBM851969 ILI851969 IVE851969 JFA851969 JOW851969 JYS851969 KIO851969 KSK851969 LCG851969 LMC851969 LVY851969 MFU851969 MPQ851969 MZM851969 NJI851969 NTE851969 ODA851969 OMW851969 OWS851969 PGO851969 PQK851969 QAG851969 QKC851969 QTY851969 RDU851969 RNQ851969 RXM851969 SHI851969 SRE851969 TBA851969 TKW851969 TUS851969 UEO851969 UOK851969 UYG851969 VIC851969 VRY851969 WBU851969 WLQ851969 WVM851969 E917505 JA917505 SW917505 ACS917505 AMO917505 AWK917505 BGG917505 BQC917505 BZY917505 CJU917505 CTQ917505 DDM917505 DNI917505 DXE917505 EHA917505 EQW917505 FAS917505 FKO917505 FUK917505 GEG917505 GOC917505 GXY917505 HHU917505 HRQ917505 IBM917505 ILI917505 IVE917505 JFA917505 JOW917505 JYS917505 KIO917505 KSK917505 LCG917505 LMC917505 LVY917505 MFU917505 MPQ917505 MZM917505 NJI917505 NTE917505 ODA917505 OMW917505 OWS917505 PGO917505 PQK917505 QAG917505 QKC917505 QTY917505 RDU917505 RNQ917505 RXM917505 SHI917505 SRE917505 TBA917505 TKW917505 TUS917505 UEO917505 UOK917505 UYG917505 VIC917505 VRY917505 WBU917505 WLQ917505 WVM917505 E983041 JA983041 SW983041 ACS983041 AMO983041 AWK983041 BGG983041 BQC983041 BZY983041 CJU983041 CTQ983041 DDM983041 DNI983041 DXE983041 EHA983041 EQW983041 FAS983041 FKO983041 FUK983041 GEG983041 GOC983041 GXY983041 HHU983041 HRQ983041 IBM983041 ILI983041 IVE983041 JFA983041 JOW983041 JYS983041 KIO983041 KSK983041 LCG983041 LMC983041 LVY983041 MFU983041 MPQ983041 MZM983041 NJI983041 NTE983041 ODA983041 OMW983041 OWS983041 PGO983041 PQK983041 QAG983041 QKC983041 QTY983041 RDU983041 RNQ983041 RXM983041 SHI983041 SRE983041 TBA983041 TKW983041 TUS983041 UEO983041 UOK983041 UYG983041 VIC983041 VRY983041 WBU983041 WLQ983041 WVM983041 C1 IY1 SU1 ACQ1 AMM1 AWI1 BGE1 BQA1 BZW1 CJS1 CTO1 DDK1 DNG1 DXC1 EGY1 EQU1 FAQ1 FKM1 FUI1 GEE1 GOA1 GXW1 HHS1 HRO1 IBK1 ILG1 IVC1 JEY1 JOU1 JYQ1 KIM1 KSI1 LCE1 LMA1 LVW1 MFS1 MPO1 MZK1 NJG1 NTC1 OCY1 OMU1 OWQ1 PGM1 PQI1 QAE1 QKA1 QTW1 RDS1 RNO1 RXK1 SHG1 SRC1 TAY1 TKU1 TUQ1 UEM1 UOI1 UYE1 VIA1 VRW1 WBS1 WLO1 WVK1 C65537 IY65537 SU65537 ACQ65537 AMM65537 AWI65537 BGE65537 BQA65537 BZW65537 CJS65537 CTO65537 DDK65537 DNG65537 DXC65537 EGY65537 EQU65537 FAQ65537 FKM65537 FUI65537 GEE65537 GOA65537 GXW65537 HHS65537 HRO65537 IBK65537 ILG65537 IVC65537 JEY65537 JOU65537 JYQ65537 KIM65537 KSI65537 LCE65537 LMA65537 LVW65537 MFS65537 MPO65537 MZK65537 NJG65537 NTC65537 OCY65537 OMU65537 OWQ65537 PGM65537 PQI65537 QAE65537 QKA65537 QTW65537 RDS65537 RNO65537 RXK65537 SHG65537 SRC65537 TAY65537 TKU65537 TUQ65537 UEM65537 UOI65537 UYE65537 VIA65537 VRW65537 WBS65537 WLO65537 WVK65537 C131073 IY131073 SU131073 ACQ131073 AMM131073 AWI131073 BGE131073 BQA131073 BZW131073 CJS131073 CTO131073 DDK131073 DNG131073 DXC131073 EGY131073 EQU131073 FAQ131073 FKM131073 FUI131073 GEE131073 GOA131073 GXW131073 HHS131073 HRO131073 IBK131073 ILG131073 IVC131073 JEY131073 JOU131073 JYQ131073 KIM131073 KSI131073 LCE131073 LMA131073 LVW131073 MFS131073 MPO131073 MZK131073 NJG131073 NTC131073 OCY131073 OMU131073 OWQ131073 PGM131073 PQI131073 QAE131073 QKA131073 QTW131073 RDS131073 RNO131073 RXK131073 SHG131073 SRC131073 TAY131073 TKU131073 TUQ131073 UEM131073 UOI131073 UYE131073 VIA131073 VRW131073 WBS131073 WLO131073 WVK131073 C196609 IY196609 SU196609 ACQ196609 AMM196609 AWI196609 BGE196609 BQA196609 BZW196609 CJS196609 CTO196609 DDK196609 DNG196609 DXC196609 EGY196609 EQU196609 FAQ196609 FKM196609 FUI196609 GEE196609 GOA196609 GXW196609 HHS196609 HRO196609 IBK196609 ILG196609 IVC196609 JEY196609 JOU196609 JYQ196609 KIM196609 KSI196609 LCE196609 LMA196609 LVW196609 MFS196609 MPO196609 MZK196609 NJG196609 NTC196609 OCY196609 OMU196609 OWQ196609 PGM196609 PQI196609 QAE196609 QKA196609 QTW196609 RDS196609 RNO196609 RXK196609 SHG196609 SRC196609 TAY196609 TKU196609 TUQ196609 UEM196609 UOI196609 UYE196609 VIA196609 VRW196609 WBS196609 WLO196609 WVK196609 C262145 IY262145 SU262145 ACQ262145 AMM262145 AWI262145 BGE262145 BQA262145 BZW262145 CJS262145 CTO262145 DDK262145 DNG262145 DXC262145 EGY262145 EQU262145 FAQ262145 FKM262145 FUI262145 GEE262145 GOA262145 GXW262145 HHS262145 HRO262145 IBK262145 ILG262145 IVC262145 JEY262145 JOU262145 JYQ262145 KIM262145 KSI262145 LCE262145 LMA262145 LVW262145 MFS262145 MPO262145 MZK262145 NJG262145 NTC262145 OCY262145 OMU262145 OWQ262145 PGM262145 PQI262145 QAE262145 QKA262145 QTW262145 RDS262145 RNO262145 RXK262145 SHG262145 SRC262145 TAY262145 TKU262145 TUQ262145 UEM262145 UOI262145 UYE262145 VIA262145 VRW262145 WBS262145 WLO262145 WVK262145 C327681 IY327681 SU327681 ACQ327681 AMM327681 AWI327681 BGE327681 BQA327681 BZW327681 CJS327681 CTO327681 DDK327681 DNG327681 DXC327681 EGY327681 EQU327681 FAQ327681 FKM327681 FUI327681 GEE327681 GOA327681 GXW327681 HHS327681 HRO327681 IBK327681 ILG327681 IVC327681 JEY327681 JOU327681 JYQ327681 KIM327681 KSI327681 LCE327681 LMA327681 LVW327681 MFS327681 MPO327681 MZK327681 NJG327681 NTC327681 OCY327681 OMU327681 OWQ327681 PGM327681 PQI327681 QAE327681 QKA327681 QTW327681 RDS327681 RNO327681 RXK327681 SHG327681 SRC327681 TAY327681 TKU327681 TUQ327681 UEM327681 UOI327681 UYE327681 VIA327681 VRW327681 WBS327681 WLO327681 WVK327681 C393217 IY393217 SU393217 ACQ393217 AMM393217 AWI393217 BGE393217 BQA393217 BZW393217 CJS393217 CTO393217 DDK393217 DNG393217 DXC393217 EGY393217 EQU393217 FAQ393217 FKM393217 FUI393217 GEE393217 GOA393217 GXW393217 HHS393217 HRO393217 IBK393217 ILG393217 IVC393217 JEY393217 JOU393217 JYQ393217 KIM393217 KSI393217 LCE393217 LMA393217 LVW393217 MFS393217 MPO393217 MZK393217 NJG393217 NTC393217 OCY393217 OMU393217 OWQ393217 PGM393217 PQI393217 QAE393217 QKA393217 QTW393217 RDS393217 RNO393217 RXK393217 SHG393217 SRC393217 TAY393217 TKU393217 TUQ393217 UEM393217 UOI393217 UYE393217 VIA393217 VRW393217 WBS393217 WLO393217 WVK393217 C458753 IY458753 SU458753 ACQ458753 AMM458753 AWI458753 BGE458753 BQA458753 BZW458753 CJS458753 CTO458753 DDK458753 DNG458753 DXC458753 EGY458753 EQU458753 FAQ458753 FKM458753 FUI458753 GEE458753 GOA458753 GXW458753 HHS458753 HRO458753 IBK458753 ILG458753 IVC458753 JEY458753 JOU458753 JYQ458753 KIM458753 KSI458753 LCE458753 LMA458753 LVW458753 MFS458753 MPO458753 MZK458753 NJG458753 NTC458753 OCY458753 OMU458753 OWQ458753 PGM458753 PQI458753 QAE458753 QKA458753 QTW458753 RDS458753 RNO458753 RXK458753 SHG458753 SRC458753 TAY458753 TKU458753 TUQ458753 UEM458753 UOI458753 UYE458753 VIA458753 VRW458753 WBS458753 WLO458753 WVK458753 C524289 IY524289 SU524289 ACQ524289 AMM524289 AWI524289 BGE524289 BQA524289 BZW524289 CJS524289 CTO524289 DDK524289 DNG524289 DXC524289 EGY524289 EQU524289 FAQ524289 FKM524289 FUI524289 GEE524289 GOA524289 GXW524289 HHS524289 HRO524289 IBK524289 ILG524289 IVC524289 JEY524289 JOU524289 JYQ524289 KIM524289 KSI524289 LCE524289 LMA524289 LVW524289 MFS524289 MPO524289 MZK524289 NJG524289 NTC524289 OCY524289 OMU524289 OWQ524289 PGM524289 PQI524289 QAE524289 QKA524289 QTW524289 RDS524289 RNO524289 RXK524289 SHG524289 SRC524289 TAY524289 TKU524289 TUQ524289 UEM524289 UOI524289 UYE524289 VIA524289 VRW524289 WBS524289 WLO524289 WVK524289 C589825 IY589825 SU589825 ACQ589825 AMM589825 AWI589825 BGE589825 BQA589825 BZW589825 CJS589825 CTO589825 DDK589825 DNG589825 DXC589825 EGY589825 EQU589825 FAQ589825 FKM589825 FUI589825 GEE589825 GOA589825 GXW589825 HHS589825 HRO589825 IBK589825 ILG589825 IVC589825 JEY589825 JOU589825 JYQ589825 KIM589825 KSI589825 LCE589825 LMA589825 LVW589825 MFS589825 MPO589825 MZK589825 NJG589825 NTC589825 OCY589825 OMU589825 OWQ589825 PGM589825 PQI589825 QAE589825 QKA589825 QTW589825 RDS589825 RNO589825 RXK589825 SHG589825 SRC589825 TAY589825 TKU589825 TUQ589825 UEM589825 UOI589825 UYE589825 VIA589825 VRW589825 WBS589825 WLO589825 WVK589825 C655361 IY655361 SU655361 ACQ655361 AMM655361 AWI655361 BGE655361 BQA655361 BZW655361 CJS655361 CTO655361 DDK655361 DNG655361 DXC655361 EGY655361 EQU655361 FAQ655361 FKM655361 FUI655361 GEE655361 GOA655361 GXW655361 HHS655361 HRO655361 IBK655361 ILG655361 IVC655361 JEY655361 JOU655361 JYQ655361 KIM655361 KSI655361 LCE655361 LMA655361 LVW655361 MFS655361 MPO655361 MZK655361 NJG655361 NTC655361 OCY655361 OMU655361 OWQ655361 PGM655361 PQI655361 QAE655361 QKA655361 QTW655361 RDS655361 RNO655361 RXK655361 SHG655361 SRC655361 TAY655361 TKU655361 TUQ655361 UEM655361 UOI655361 UYE655361 VIA655361 VRW655361 WBS655361 WLO655361 WVK655361 C720897 IY720897 SU720897 ACQ720897 AMM720897 AWI720897 BGE720897 BQA720897 BZW720897 CJS720897 CTO720897 DDK720897 DNG720897 DXC720897 EGY720897 EQU720897 FAQ720897 FKM720897 FUI720897 GEE720897 GOA720897 GXW720897 HHS720897 HRO720897 IBK720897 ILG720897 IVC720897 JEY720897 JOU720897 JYQ720897 KIM720897 KSI720897 LCE720897 LMA720897 LVW720897 MFS720897 MPO720897 MZK720897 NJG720897 NTC720897 OCY720897 OMU720897 OWQ720897 PGM720897 PQI720897 QAE720897 QKA720897 QTW720897 RDS720897 RNO720897 RXK720897 SHG720897 SRC720897 TAY720897 TKU720897 TUQ720897 UEM720897 UOI720897 UYE720897 VIA720897 VRW720897 WBS720897 WLO720897 WVK720897 C786433 IY786433 SU786433 ACQ786433 AMM786433 AWI786433 BGE786433 BQA786433 BZW786433 CJS786433 CTO786433 DDK786433 DNG786433 DXC786433 EGY786433 EQU786433 FAQ786433 FKM786433 FUI786433 GEE786433 GOA786433 GXW786433 HHS786433 HRO786433 IBK786433 ILG786433 IVC786433 JEY786433 JOU786433 JYQ786433 KIM786433 KSI786433 LCE786433 LMA786433 LVW786433 MFS786433 MPO786433 MZK786433 NJG786433 NTC786433 OCY786433 OMU786433 OWQ786433 PGM786433 PQI786433 QAE786433 QKA786433 QTW786433 RDS786433 RNO786433 RXK786433 SHG786433 SRC786433 TAY786433 TKU786433 TUQ786433 UEM786433 UOI786433 UYE786433 VIA786433 VRW786433 WBS786433 WLO786433 WVK786433 C851969 IY851969 SU851969 ACQ851969 AMM851969 AWI851969 BGE851969 BQA851969 BZW851969 CJS851969 CTO851969 DDK851969 DNG851969 DXC851969 EGY851969 EQU851969 FAQ851969 FKM851969 FUI851969 GEE851969 GOA851969 GXW851969 HHS851969 HRO851969 IBK851969 ILG851969 IVC851969 JEY851969 JOU851969 JYQ851969 KIM851969 KSI851969 LCE851969 LMA851969 LVW851969 MFS851969 MPO851969 MZK851969 NJG851969 NTC851969 OCY851969 OMU851969 OWQ851969 PGM851969 PQI851969 QAE851969 QKA851969 QTW851969 RDS851969 RNO851969 RXK851969 SHG851969 SRC851969 TAY851969 TKU851969 TUQ851969 UEM851969 UOI851969 UYE851969 VIA851969 VRW851969 WBS851969 WLO851969 WVK851969 C917505 IY917505 SU917505 ACQ917505 AMM917505 AWI917505 BGE917505 BQA917505 BZW917505 CJS917505 CTO917505 DDK917505 DNG917505 DXC917505 EGY917505 EQU917505 FAQ917505 FKM917505 FUI917505 GEE917505 GOA917505 GXW917505 HHS917505 HRO917505 IBK917505 ILG917505 IVC917505 JEY917505 JOU917505 JYQ917505 KIM917505 KSI917505 LCE917505 LMA917505 LVW917505 MFS917505 MPO917505 MZK917505 NJG917505 NTC917505 OCY917505 OMU917505 OWQ917505 PGM917505 PQI917505 QAE917505 QKA917505 QTW917505 RDS917505 RNO917505 RXK917505 SHG917505 SRC917505 TAY917505 TKU917505 TUQ917505 UEM917505 UOI917505 UYE917505 VIA917505 VRW917505 WBS917505 WLO917505 WVK917505 C983041 IY983041 SU983041 ACQ983041 AMM983041 AWI983041 BGE983041 BQA983041 BZW983041 CJS983041 CTO983041 DDK983041 DNG983041 DXC983041 EGY983041 EQU983041 FAQ983041 FKM983041 FUI983041 GEE983041 GOA983041 GXW983041 HHS983041 HRO983041 IBK983041 ILG983041 IVC983041 JEY983041 JOU983041 JYQ983041 KIM983041 KSI983041 LCE983041 LMA983041 LVW983041 MFS983041 MPO983041 MZK983041 NJG983041 NTC983041 OCY983041 OMU983041 OWQ983041 PGM983041 PQI983041 QAE983041 QKA983041 QTW983041 RDS983041 RNO983041 RXK983041 SHG983041 SRC983041 TAY983041 TKU983041 TUQ983041 UEM983041 UOI983041 UYE983041 VIA983041 VRW983041 WBS983041 WLO983041 WVK983041" xr:uid="{00000000-0002-0000-0000-000002000000}">
      <formula1>clubs</formula1>
    </dataValidation>
  </dataValidations>
  <pageMargins left="0.74803149606299213" right="0.74803149606299213" top="0.98425196850393704" bottom="0.98425196850393704" header="0.51181102362204722" footer="0.51181102362204722"/>
  <pageSetup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veAsCSV">
                <anchor moveWithCells="1" sizeWithCells="1">
                  <from>
                    <xdr:col>1</xdr:col>
                    <xdr:colOff>171450</xdr:colOff>
                    <xdr:row>0</xdr:row>
                    <xdr:rowOff>114300</xdr:rowOff>
                  </from>
                  <to>
                    <xdr:col>4</xdr:col>
                    <xdr:colOff>866775</xdr:colOff>
                    <xdr:row>3</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20"/>
  <sheetViews>
    <sheetView tabSelected="1" workbookViewId="0">
      <selection activeCell="B19" sqref="B19"/>
    </sheetView>
  </sheetViews>
  <sheetFormatPr defaultColWidth="9.140625" defaultRowHeight="12.75" x14ac:dyDescent="0.2"/>
  <cols>
    <col min="1" max="1" width="23" style="1" customWidth="1"/>
    <col min="2" max="2" width="14.42578125" style="1" customWidth="1"/>
    <col min="3" max="3" width="10.7109375" style="1" customWidth="1"/>
    <col min="4" max="16384" width="9.140625" style="1"/>
  </cols>
  <sheetData>
    <row r="1" spans="1:3" x14ac:dyDescent="0.2">
      <c r="A1" s="4" t="s">
        <v>36</v>
      </c>
      <c r="B1" s="4">
        <v>700</v>
      </c>
      <c r="C1" s="4">
        <v>725</v>
      </c>
    </row>
    <row r="2" spans="1:3" x14ac:dyDescent="0.2">
      <c r="A2" s="4" t="s">
        <v>35</v>
      </c>
      <c r="B2" s="4">
        <v>401</v>
      </c>
      <c r="C2" s="4">
        <v>500</v>
      </c>
    </row>
    <row r="3" spans="1:3" x14ac:dyDescent="0.2">
      <c r="A3" s="4" t="s">
        <v>34</v>
      </c>
      <c r="B3" s="4">
        <v>751</v>
      </c>
      <c r="C3" s="4">
        <v>775</v>
      </c>
    </row>
    <row r="4" spans="1:3" x14ac:dyDescent="0.2">
      <c r="A4" s="4" t="s">
        <v>33</v>
      </c>
      <c r="B4" s="4">
        <v>726</v>
      </c>
      <c r="C4" s="4">
        <v>750</v>
      </c>
    </row>
    <row r="5" spans="1:3" x14ac:dyDescent="0.2">
      <c r="A5" s="4" t="s">
        <v>32</v>
      </c>
      <c r="B5" s="4">
        <v>1</v>
      </c>
      <c r="C5" s="4">
        <v>100</v>
      </c>
    </row>
    <row r="6" spans="1:3" x14ac:dyDescent="0.2">
      <c r="A6" s="4" t="s">
        <v>31</v>
      </c>
      <c r="B6" s="4">
        <v>101</v>
      </c>
      <c r="C6" s="4">
        <v>200</v>
      </c>
    </row>
    <row r="7" spans="1:3" x14ac:dyDescent="0.2">
      <c r="A7" s="5" t="s">
        <v>24</v>
      </c>
      <c r="B7" s="4">
        <v>776</v>
      </c>
      <c r="C7" s="4">
        <v>800</v>
      </c>
    </row>
    <row r="8" spans="1:3" x14ac:dyDescent="0.2">
      <c r="A8" s="5" t="s">
        <v>30</v>
      </c>
      <c r="B8" s="4">
        <v>501</v>
      </c>
      <c r="C8" s="4">
        <v>600</v>
      </c>
    </row>
    <row r="9" spans="1:3" x14ac:dyDescent="0.2">
      <c r="A9" s="4" t="s">
        <v>29</v>
      </c>
      <c r="B9" s="4">
        <v>301</v>
      </c>
      <c r="C9" s="4">
        <v>400</v>
      </c>
    </row>
    <row r="10" spans="1:3" x14ac:dyDescent="0.2">
      <c r="A10" s="4" t="s">
        <v>28</v>
      </c>
      <c r="B10" s="4">
        <v>651</v>
      </c>
      <c r="C10" s="4">
        <v>700</v>
      </c>
    </row>
    <row r="11" spans="1:3" x14ac:dyDescent="0.2">
      <c r="A11" s="4" t="s">
        <v>27</v>
      </c>
      <c r="B11" s="4">
        <v>601</v>
      </c>
      <c r="C11" s="4">
        <v>650</v>
      </c>
    </row>
    <row r="12" spans="1:3" x14ac:dyDescent="0.2">
      <c r="A12" s="4" t="s">
        <v>26</v>
      </c>
      <c r="B12" s="4">
        <v>201</v>
      </c>
      <c r="C12" s="4">
        <v>300</v>
      </c>
    </row>
    <row r="13" spans="1:3" x14ac:dyDescent="0.2">
      <c r="A13" s="5" t="s">
        <v>68</v>
      </c>
      <c r="B13" s="4">
        <v>801</v>
      </c>
      <c r="C13" s="4">
        <v>850</v>
      </c>
    </row>
    <row r="14" spans="1:3" x14ac:dyDescent="0.2">
      <c r="A14" s="4"/>
      <c r="B14" s="4"/>
      <c r="C14" s="4"/>
    </row>
    <row r="15" spans="1:3" x14ac:dyDescent="0.2">
      <c r="A15" s="4"/>
      <c r="B15" s="4"/>
      <c r="C15" s="4"/>
    </row>
    <row r="16" spans="1:3" x14ac:dyDescent="0.2">
      <c r="A16" s="4"/>
      <c r="B16" s="4"/>
      <c r="C16" s="4"/>
    </row>
    <row r="17" spans="1:3" x14ac:dyDescent="0.2">
      <c r="A17" s="4"/>
      <c r="B17" s="4"/>
      <c r="C17" s="4"/>
    </row>
    <row r="18" spans="1:3" x14ac:dyDescent="0.2">
      <c r="A18" s="4"/>
      <c r="B18" s="4"/>
      <c r="C18" s="4"/>
    </row>
    <row r="19" spans="1:3" x14ac:dyDescent="0.2">
      <c r="A19" s="6" t="s">
        <v>25</v>
      </c>
      <c r="B19" s="3" t="s">
        <v>68</v>
      </c>
      <c r="C19" s="4"/>
    </row>
    <row r="20" spans="1:3" x14ac:dyDescent="0.2">
      <c r="A20" s="6" t="s">
        <v>23</v>
      </c>
      <c r="B20" s="6">
        <f>VLOOKUP(B19,clubs!A1:B13,2)</f>
        <v>801</v>
      </c>
      <c r="C20" s="4"/>
    </row>
  </sheetData>
  <sheetProtection sheet="1" objects="1" scenarios="1"/>
  <protectedRanges>
    <protectedRange sqref="B19" name="SelectClub"/>
  </protectedRanges>
  <dataValidations count="1">
    <dataValidation type="list" allowBlank="1" showInputMessage="1" showErrorMessage="1" sqref="B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B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B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B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B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B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B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B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B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B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B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B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B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B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B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B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xr:uid="{00000000-0002-0000-0100-000000000000}">
      <formula1>clubs</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4"/>
  <sheetViews>
    <sheetView workbookViewId="0">
      <selection activeCell="B2" sqref="B2"/>
    </sheetView>
  </sheetViews>
  <sheetFormatPr defaultColWidth="9.140625" defaultRowHeight="12.75" x14ac:dyDescent="0.2"/>
  <cols>
    <col min="1" max="1" width="16.42578125" style="1" customWidth="1"/>
    <col min="2" max="16384" width="9.140625" style="1"/>
  </cols>
  <sheetData>
    <row r="1" spans="1:2" x14ac:dyDescent="0.2">
      <c r="A1" s="8" t="s">
        <v>2</v>
      </c>
      <c r="B1" s="8" t="s">
        <v>0</v>
      </c>
    </row>
    <row r="2" spans="1:2" x14ac:dyDescent="0.2">
      <c r="A2" s="8" t="s">
        <v>1</v>
      </c>
      <c r="B2" s="8" t="s">
        <v>49</v>
      </c>
    </row>
    <row r="3" spans="1:2" x14ac:dyDescent="0.2">
      <c r="A3" s="8" t="s">
        <v>48</v>
      </c>
    </row>
    <row r="4" spans="1:2" x14ac:dyDescent="0.2">
      <c r="A4" s="8" t="s">
        <v>47</v>
      </c>
    </row>
    <row r="5" spans="1:2" x14ac:dyDescent="0.2">
      <c r="A5" s="8" t="s">
        <v>46</v>
      </c>
    </row>
    <row r="6" spans="1:2" x14ac:dyDescent="0.2">
      <c r="A6" s="8" t="s">
        <v>45</v>
      </c>
    </row>
    <row r="7" spans="1:2" x14ac:dyDescent="0.2">
      <c r="A7" s="8" t="s">
        <v>44</v>
      </c>
    </row>
    <row r="8" spans="1:2" x14ac:dyDescent="0.2">
      <c r="A8" s="8" t="s">
        <v>43</v>
      </c>
    </row>
    <row r="9" spans="1:2" x14ac:dyDescent="0.2">
      <c r="A9" s="8" t="s">
        <v>42</v>
      </c>
    </row>
    <row r="10" spans="1:2" x14ac:dyDescent="0.2">
      <c r="A10" s="8" t="s">
        <v>41</v>
      </c>
    </row>
    <row r="11" spans="1:2" x14ac:dyDescent="0.2">
      <c r="A11" s="8" t="s">
        <v>40</v>
      </c>
    </row>
    <row r="12" spans="1:2" x14ac:dyDescent="0.2">
      <c r="A12" s="8" t="s">
        <v>39</v>
      </c>
    </row>
    <row r="13" spans="1:2" x14ac:dyDescent="0.2">
      <c r="A13" s="8" t="s">
        <v>38</v>
      </c>
    </row>
    <row r="14" spans="1:2" x14ac:dyDescent="0.2">
      <c r="A14" s="8" t="s">
        <v>37</v>
      </c>
    </row>
  </sheetData>
  <sheetProtection sheet="1" objects="1" scenarios="1"/>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68"/>
  <sheetViews>
    <sheetView topLeftCell="A13" workbookViewId="0">
      <selection activeCell="B13" sqref="B13:C26"/>
    </sheetView>
  </sheetViews>
  <sheetFormatPr defaultColWidth="9.140625" defaultRowHeight="12.75" x14ac:dyDescent="0.2"/>
  <cols>
    <col min="1" max="1" width="15.7109375" style="1" customWidth="1"/>
    <col min="2" max="2" width="5.7109375" style="1" customWidth="1"/>
    <col min="3" max="3" width="12.7109375" style="1" customWidth="1"/>
    <col min="4" max="4" width="15.7109375" style="1" customWidth="1"/>
    <col min="5" max="5" width="5.7109375" style="1" customWidth="1"/>
    <col min="6" max="6" width="12.7109375" style="1" customWidth="1"/>
    <col min="7" max="7" width="15.7109375" style="1" customWidth="1"/>
    <col min="8" max="8" width="5.7109375" style="1" customWidth="1"/>
    <col min="9" max="9" width="12.7109375" style="1" customWidth="1"/>
    <col min="10" max="10" width="15.7109375" style="1" customWidth="1"/>
    <col min="11" max="11" width="5.7109375" style="1" customWidth="1"/>
    <col min="12" max="12" width="12.7109375" style="1" customWidth="1"/>
    <col min="13" max="13" width="15.7109375" style="1" customWidth="1"/>
    <col min="14" max="14" width="5.7109375" style="1" customWidth="1"/>
    <col min="15" max="15" width="12.7109375" style="1" customWidth="1"/>
    <col min="16" max="16" width="15.7109375" style="1" customWidth="1"/>
    <col min="17" max="17" width="5.7109375" style="1" customWidth="1"/>
    <col min="18" max="18" width="12.7109375" style="1" customWidth="1"/>
    <col min="19" max="19" width="15.7109375" style="1" customWidth="1"/>
    <col min="20" max="20" width="5.7109375" style="1" customWidth="1"/>
    <col min="21" max="21" width="12.7109375" style="1" customWidth="1"/>
    <col min="22" max="16384" width="9.140625" style="1"/>
  </cols>
  <sheetData>
    <row r="1" spans="1:3" x14ac:dyDescent="0.2">
      <c r="A1" s="8" t="s">
        <v>67</v>
      </c>
      <c r="B1" s="9" t="s">
        <v>66</v>
      </c>
      <c r="C1" s="8" t="s">
        <v>63</v>
      </c>
    </row>
    <row r="2" spans="1:3" x14ac:dyDescent="0.2">
      <c r="A2" s="8" t="s">
        <v>65</v>
      </c>
      <c r="B2" s="9" t="s">
        <v>64</v>
      </c>
      <c r="C2" s="8" t="s">
        <v>63</v>
      </c>
    </row>
    <row r="3" spans="1:3" x14ac:dyDescent="0.2">
      <c r="A3" s="8" t="s">
        <v>46</v>
      </c>
      <c r="B3" s="8">
        <v>1</v>
      </c>
      <c r="C3" s="8" t="s">
        <v>63</v>
      </c>
    </row>
    <row r="4" spans="1:3" x14ac:dyDescent="0.2">
      <c r="A4" s="8" t="s">
        <v>45</v>
      </c>
      <c r="B4" s="8">
        <v>2</v>
      </c>
      <c r="C4" s="8" t="s">
        <v>63</v>
      </c>
    </row>
    <row r="5" spans="1:3" x14ac:dyDescent="0.2">
      <c r="A5" s="8" t="s">
        <v>44</v>
      </c>
      <c r="B5" s="8">
        <v>3</v>
      </c>
      <c r="C5" s="8" t="s">
        <v>63</v>
      </c>
    </row>
    <row r="6" spans="1:3" x14ac:dyDescent="0.2">
      <c r="A6" s="8" t="s">
        <v>43</v>
      </c>
      <c r="B6" s="8">
        <v>4</v>
      </c>
      <c r="C6" s="8" t="s">
        <v>63</v>
      </c>
    </row>
    <row r="7" spans="1:3" x14ac:dyDescent="0.2">
      <c r="A7" s="8" t="s">
        <v>42</v>
      </c>
      <c r="B7" s="8">
        <v>5</v>
      </c>
      <c r="C7" s="8" t="s">
        <v>63</v>
      </c>
    </row>
    <row r="8" spans="1:3" x14ac:dyDescent="0.2">
      <c r="A8" s="8" t="s">
        <v>41</v>
      </c>
      <c r="B8" s="8">
        <v>6</v>
      </c>
      <c r="C8" s="8" t="s">
        <v>63</v>
      </c>
    </row>
    <row r="9" spans="1:3" x14ac:dyDescent="0.2">
      <c r="A9" s="8" t="s">
        <v>40</v>
      </c>
      <c r="B9" s="8">
        <v>7</v>
      </c>
      <c r="C9" s="8" t="s">
        <v>62</v>
      </c>
    </row>
    <row r="10" spans="1:3" x14ac:dyDescent="0.2">
      <c r="A10" s="8" t="s">
        <v>39</v>
      </c>
      <c r="B10" s="8">
        <v>8</v>
      </c>
      <c r="C10" s="8" t="s">
        <v>62</v>
      </c>
    </row>
    <row r="11" spans="1:3" x14ac:dyDescent="0.2">
      <c r="A11" s="8" t="s">
        <v>38</v>
      </c>
      <c r="B11" s="8">
        <v>9</v>
      </c>
      <c r="C11" s="8" t="s">
        <v>62</v>
      </c>
    </row>
    <row r="12" spans="1:3" x14ac:dyDescent="0.2">
      <c r="A12" s="8" t="s">
        <v>37</v>
      </c>
      <c r="B12" s="8">
        <v>10</v>
      </c>
      <c r="C12" s="8" t="s">
        <v>62</v>
      </c>
    </row>
    <row r="13" spans="1:3" x14ac:dyDescent="0.2">
      <c r="A13" s="8" t="s">
        <v>2</v>
      </c>
      <c r="B13" s="8">
        <v>11</v>
      </c>
      <c r="C13" s="8" t="s">
        <v>61</v>
      </c>
    </row>
    <row r="14" spans="1:3" x14ac:dyDescent="0.2">
      <c r="A14" s="8" t="s">
        <v>1</v>
      </c>
      <c r="B14" s="8">
        <v>12</v>
      </c>
      <c r="C14" s="8" t="s">
        <v>61</v>
      </c>
    </row>
    <row r="15" spans="1:3" x14ac:dyDescent="0.2">
      <c r="A15" s="8" t="s">
        <v>48</v>
      </c>
      <c r="B15" s="8">
        <v>13</v>
      </c>
      <c r="C15" s="8" t="s">
        <v>61</v>
      </c>
    </row>
    <row r="16" spans="1:3" x14ac:dyDescent="0.2">
      <c r="A16" s="8" t="s">
        <v>47</v>
      </c>
      <c r="B16" s="8">
        <v>14</v>
      </c>
      <c r="C16" s="8" t="s">
        <v>61</v>
      </c>
    </row>
    <row r="17" spans="1:3" x14ac:dyDescent="0.2">
      <c r="A17" s="8" t="s">
        <v>46</v>
      </c>
      <c r="B17" s="8">
        <v>15</v>
      </c>
      <c r="C17" s="8" t="s">
        <v>61</v>
      </c>
    </row>
    <row r="18" spans="1:3" x14ac:dyDescent="0.2">
      <c r="A18" s="8" t="s">
        <v>45</v>
      </c>
      <c r="B18" s="8">
        <v>16</v>
      </c>
      <c r="C18" s="8" t="s">
        <v>61</v>
      </c>
    </row>
    <row r="19" spans="1:3" x14ac:dyDescent="0.2">
      <c r="A19" s="8" t="s">
        <v>44</v>
      </c>
      <c r="B19" s="8">
        <v>17</v>
      </c>
      <c r="C19" s="8" t="s">
        <v>60</v>
      </c>
    </row>
    <row r="20" spans="1:3" x14ac:dyDescent="0.2">
      <c r="A20" s="8" t="s">
        <v>43</v>
      </c>
      <c r="B20" s="8">
        <v>18</v>
      </c>
      <c r="C20" s="8" t="s">
        <v>60</v>
      </c>
    </row>
    <row r="21" spans="1:3" x14ac:dyDescent="0.2">
      <c r="A21" s="8" t="s">
        <v>42</v>
      </c>
      <c r="B21" s="8">
        <v>19</v>
      </c>
      <c r="C21" s="8" t="s">
        <v>60</v>
      </c>
    </row>
    <row r="22" spans="1:3" x14ac:dyDescent="0.2">
      <c r="A22" s="8" t="s">
        <v>41</v>
      </c>
      <c r="B22" s="8">
        <v>20</v>
      </c>
      <c r="C22" s="8" t="s">
        <v>60</v>
      </c>
    </row>
    <row r="23" spans="1:3" x14ac:dyDescent="0.2">
      <c r="A23" s="8" t="s">
        <v>40</v>
      </c>
      <c r="B23" s="8">
        <v>21</v>
      </c>
      <c r="C23" s="8" t="s">
        <v>59</v>
      </c>
    </row>
    <row r="24" spans="1:3" x14ac:dyDescent="0.2">
      <c r="A24" s="8" t="s">
        <v>39</v>
      </c>
      <c r="B24" s="8">
        <v>22</v>
      </c>
      <c r="C24" s="8" t="s">
        <v>59</v>
      </c>
    </row>
    <row r="25" spans="1:3" x14ac:dyDescent="0.2">
      <c r="A25" s="8" t="s">
        <v>38</v>
      </c>
      <c r="B25" s="8">
        <v>23</v>
      </c>
      <c r="C25" s="8" t="s">
        <v>59</v>
      </c>
    </row>
    <row r="26" spans="1:3" x14ac:dyDescent="0.2">
      <c r="A26" s="8" t="s">
        <v>37</v>
      </c>
      <c r="B26" s="8">
        <v>24</v>
      </c>
      <c r="C26" s="8" t="s">
        <v>59</v>
      </c>
    </row>
    <row r="27" spans="1:3" x14ac:dyDescent="0.2">
      <c r="A27" s="8" t="s">
        <v>2</v>
      </c>
      <c r="B27" s="8">
        <v>25</v>
      </c>
      <c r="C27" s="8" t="s">
        <v>58</v>
      </c>
    </row>
    <row r="28" spans="1:3" x14ac:dyDescent="0.2">
      <c r="A28" s="8" t="s">
        <v>1</v>
      </c>
      <c r="B28" s="8">
        <v>26</v>
      </c>
      <c r="C28" s="8" t="s">
        <v>58</v>
      </c>
    </row>
    <row r="29" spans="1:3" x14ac:dyDescent="0.2">
      <c r="A29" s="8" t="s">
        <v>48</v>
      </c>
      <c r="B29" s="8">
        <v>27</v>
      </c>
      <c r="C29" s="8" t="s">
        <v>58</v>
      </c>
    </row>
    <row r="30" spans="1:3" x14ac:dyDescent="0.2">
      <c r="A30" s="8" t="s">
        <v>47</v>
      </c>
      <c r="B30" s="8">
        <v>28</v>
      </c>
      <c r="C30" s="8" t="s">
        <v>58</v>
      </c>
    </row>
    <row r="31" spans="1:3" x14ac:dyDescent="0.2">
      <c r="A31" s="8" t="s">
        <v>46</v>
      </c>
      <c r="B31" s="8">
        <v>29</v>
      </c>
      <c r="C31" s="8" t="s">
        <v>58</v>
      </c>
    </row>
    <row r="32" spans="1:3" x14ac:dyDescent="0.2">
      <c r="A32" s="8" t="s">
        <v>45</v>
      </c>
      <c r="B32" s="8">
        <v>30</v>
      </c>
      <c r="C32" s="8" t="s">
        <v>58</v>
      </c>
    </row>
    <row r="33" spans="1:3" x14ac:dyDescent="0.2">
      <c r="A33" s="8" t="s">
        <v>44</v>
      </c>
      <c r="B33" s="8">
        <v>31</v>
      </c>
      <c r="C33" s="8" t="s">
        <v>57</v>
      </c>
    </row>
    <row r="34" spans="1:3" x14ac:dyDescent="0.2">
      <c r="A34" s="8" t="s">
        <v>43</v>
      </c>
      <c r="B34" s="8">
        <v>32</v>
      </c>
      <c r="C34" s="8" t="s">
        <v>57</v>
      </c>
    </row>
    <row r="35" spans="1:3" x14ac:dyDescent="0.2">
      <c r="A35" s="8" t="s">
        <v>42</v>
      </c>
      <c r="B35" s="8">
        <v>33</v>
      </c>
      <c r="C35" s="8" t="s">
        <v>57</v>
      </c>
    </row>
    <row r="36" spans="1:3" x14ac:dyDescent="0.2">
      <c r="A36" s="8" t="s">
        <v>41</v>
      </c>
      <c r="B36" s="8">
        <v>34</v>
      </c>
      <c r="C36" s="8" t="s">
        <v>57</v>
      </c>
    </row>
    <row r="37" spans="1:3" x14ac:dyDescent="0.2">
      <c r="A37" s="8" t="s">
        <v>40</v>
      </c>
      <c r="B37" s="8">
        <v>35</v>
      </c>
      <c r="C37" s="8" t="s">
        <v>56</v>
      </c>
    </row>
    <row r="38" spans="1:3" x14ac:dyDescent="0.2">
      <c r="A38" s="8" t="s">
        <v>39</v>
      </c>
      <c r="B38" s="8">
        <v>36</v>
      </c>
      <c r="C38" s="8" t="s">
        <v>56</v>
      </c>
    </row>
    <row r="39" spans="1:3" x14ac:dyDescent="0.2">
      <c r="A39" s="8" t="s">
        <v>38</v>
      </c>
      <c r="B39" s="8">
        <v>37</v>
      </c>
      <c r="C39" s="8" t="s">
        <v>56</v>
      </c>
    </row>
    <row r="40" spans="1:3" x14ac:dyDescent="0.2">
      <c r="A40" s="8" t="s">
        <v>37</v>
      </c>
      <c r="B40" s="8">
        <v>38</v>
      </c>
      <c r="C40" s="8" t="s">
        <v>56</v>
      </c>
    </row>
    <row r="41" spans="1:3" x14ac:dyDescent="0.2">
      <c r="A41" s="8" t="s">
        <v>2</v>
      </c>
      <c r="B41" s="8">
        <v>39</v>
      </c>
      <c r="C41" s="8" t="s">
        <v>55</v>
      </c>
    </row>
    <row r="42" spans="1:3" x14ac:dyDescent="0.2">
      <c r="A42" s="8" t="s">
        <v>1</v>
      </c>
      <c r="B42" s="8">
        <v>40</v>
      </c>
      <c r="C42" s="8" t="s">
        <v>55</v>
      </c>
    </row>
    <row r="43" spans="1:3" x14ac:dyDescent="0.2">
      <c r="A43" s="8" t="s">
        <v>48</v>
      </c>
      <c r="B43" s="8">
        <v>41</v>
      </c>
      <c r="C43" s="8" t="s">
        <v>55</v>
      </c>
    </row>
    <row r="44" spans="1:3" x14ac:dyDescent="0.2">
      <c r="A44" s="8" t="s">
        <v>47</v>
      </c>
      <c r="B44" s="8">
        <v>42</v>
      </c>
      <c r="C44" s="8" t="s">
        <v>55</v>
      </c>
    </row>
    <row r="45" spans="1:3" x14ac:dyDescent="0.2">
      <c r="A45" s="8" t="s">
        <v>46</v>
      </c>
      <c r="B45" s="8">
        <v>43</v>
      </c>
      <c r="C45" s="8" t="s">
        <v>55</v>
      </c>
    </row>
    <row r="46" spans="1:3" x14ac:dyDescent="0.2">
      <c r="A46" s="8" t="s">
        <v>45</v>
      </c>
      <c r="B46" s="8">
        <v>44</v>
      </c>
      <c r="C46" s="8" t="s">
        <v>55</v>
      </c>
    </row>
    <row r="47" spans="1:3" x14ac:dyDescent="0.2">
      <c r="A47" s="8" t="s">
        <v>44</v>
      </c>
      <c r="B47" s="8">
        <v>45</v>
      </c>
      <c r="C47" s="8" t="s">
        <v>54</v>
      </c>
    </row>
    <row r="48" spans="1:3" x14ac:dyDescent="0.2">
      <c r="A48" s="8" t="s">
        <v>43</v>
      </c>
      <c r="B48" s="8">
        <v>46</v>
      </c>
      <c r="C48" s="8" t="s">
        <v>54</v>
      </c>
    </row>
    <row r="49" spans="1:3" x14ac:dyDescent="0.2">
      <c r="A49" s="8" t="s">
        <v>42</v>
      </c>
      <c r="B49" s="8">
        <v>47</v>
      </c>
      <c r="C49" s="8" t="s">
        <v>54</v>
      </c>
    </row>
    <row r="50" spans="1:3" x14ac:dyDescent="0.2">
      <c r="A50" s="8" t="s">
        <v>41</v>
      </c>
      <c r="B50" s="8">
        <v>48</v>
      </c>
      <c r="C50" s="8" t="s">
        <v>54</v>
      </c>
    </row>
    <row r="51" spans="1:3" x14ac:dyDescent="0.2">
      <c r="A51" s="8" t="s">
        <v>40</v>
      </c>
      <c r="B51" s="8">
        <v>49</v>
      </c>
      <c r="C51" s="8" t="s">
        <v>53</v>
      </c>
    </row>
    <row r="52" spans="1:3" x14ac:dyDescent="0.2">
      <c r="A52" s="8" t="s">
        <v>39</v>
      </c>
      <c r="B52" s="8">
        <v>50</v>
      </c>
      <c r="C52" s="8" t="s">
        <v>53</v>
      </c>
    </row>
    <row r="53" spans="1:3" x14ac:dyDescent="0.2">
      <c r="A53" s="8" t="s">
        <v>38</v>
      </c>
      <c r="B53" s="8">
        <v>51</v>
      </c>
      <c r="C53" s="8" t="s">
        <v>53</v>
      </c>
    </row>
    <row r="54" spans="1:3" x14ac:dyDescent="0.2">
      <c r="A54" s="8" t="s">
        <v>37</v>
      </c>
      <c r="B54" s="8">
        <v>52</v>
      </c>
      <c r="C54" s="8" t="s">
        <v>53</v>
      </c>
    </row>
    <row r="55" spans="1:3" x14ac:dyDescent="0.2">
      <c r="A55" s="8" t="s">
        <v>2</v>
      </c>
      <c r="B55" s="8">
        <v>53</v>
      </c>
      <c r="C55" s="8" t="s">
        <v>52</v>
      </c>
    </row>
    <row r="56" spans="1:3" x14ac:dyDescent="0.2">
      <c r="A56" s="8" t="s">
        <v>1</v>
      </c>
      <c r="B56" s="8">
        <v>54</v>
      </c>
      <c r="C56" s="8" t="s">
        <v>52</v>
      </c>
    </row>
    <row r="57" spans="1:3" x14ac:dyDescent="0.2">
      <c r="A57" s="8" t="s">
        <v>48</v>
      </c>
      <c r="B57" s="8">
        <v>55</v>
      </c>
      <c r="C57" s="8" t="s">
        <v>52</v>
      </c>
    </row>
    <row r="58" spans="1:3" x14ac:dyDescent="0.2">
      <c r="A58" s="8" t="s">
        <v>47</v>
      </c>
      <c r="B58" s="8">
        <v>56</v>
      </c>
      <c r="C58" s="8" t="s">
        <v>52</v>
      </c>
    </row>
    <row r="59" spans="1:3" x14ac:dyDescent="0.2">
      <c r="A59" s="8" t="s">
        <v>46</v>
      </c>
      <c r="B59" s="8">
        <v>57</v>
      </c>
      <c r="C59" s="8" t="s">
        <v>52</v>
      </c>
    </row>
    <row r="60" spans="1:3" x14ac:dyDescent="0.2">
      <c r="A60" s="8" t="s">
        <v>45</v>
      </c>
      <c r="B60" s="8">
        <v>58</v>
      </c>
      <c r="C60" s="8" t="s">
        <v>52</v>
      </c>
    </row>
    <row r="61" spans="1:3" x14ac:dyDescent="0.2">
      <c r="A61" s="8" t="s">
        <v>44</v>
      </c>
      <c r="B61" s="8">
        <v>59</v>
      </c>
      <c r="C61" s="8" t="s">
        <v>51</v>
      </c>
    </row>
    <row r="62" spans="1:3" x14ac:dyDescent="0.2">
      <c r="A62" s="8" t="s">
        <v>43</v>
      </c>
      <c r="B62" s="8">
        <v>60</v>
      </c>
      <c r="C62" s="8" t="s">
        <v>51</v>
      </c>
    </row>
    <row r="63" spans="1:3" x14ac:dyDescent="0.2">
      <c r="A63" s="8" t="s">
        <v>42</v>
      </c>
      <c r="B63" s="8">
        <v>61</v>
      </c>
      <c r="C63" s="8" t="s">
        <v>51</v>
      </c>
    </row>
    <row r="64" spans="1:3" x14ac:dyDescent="0.2">
      <c r="A64" s="8" t="s">
        <v>41</v>
      </c>
      <c r="B64" s="8">
        <v>62</v>
      </c>
      <c r="C64" s="8" t="s">
        <v>51</v>
      </c>
    </row>
    <row r="65" spans="1:3" x14ac:dyDescent="0.2">
      <c r="A65" s="8" t="s">
        <v>40</v>
      </c>
      <c r="B65" s="8">
        <v>63</v>
      </c>
      <c r="C65" s="8" t="s">
        <v>50</v>
      </c>
    </row>
    <row r="66" spans="1:3" x14ac:dyDescent="0.2">
      <c r="A66" s="8" t="s">
        <v>39</v>
      </c>
      <c r="B66" s="8">
        <v>64</v>
      </c>
      <c r="C66" s="8" t="s">
        <v>50</v>
      </c>
    </row>
    <row r="67" spans="1:3" x14ac:dyDescent="0.2">
      <c r="A67" s="8" t="s">
        <v>38</v>
      </c>
      <c r="B67" s="8">
        <v>65</v>
      </c>
      <c r="C67" s="8" t="s">
        <v>50</v>
      </c>
    </row>
    <row r="68" spans="1:3" x14ac:dyDescent="0.2">
      <c r="A68" s="8" t="s">
        <v>37</v>
      </c>
      <c r="B68" s="8">
        <v>66</v>
      </c>
      <c r="C68" s="8" t="s">
        <v>50</v>
      </c>
    </row>
  </sheetData>
  <sheetProtection sheet="1" objects="1" scenarios="1"/>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19</vt:i4>
      </vt:variant>
    </vt:vector>
  </HeadingPairs>
  <TitlesOfParts>
    <vt:vector size="23" baseType="lpstr">
      <vt:lpstr>participants</vt:lpstr>
      <vt:lpstr>clubs</vt:lpstr>
      <vt:lpstr>categories</vt:lpstr>
      <vt:lpstr>events</vt:lpstr>
      <vt:lpstr>B8ANDU</vt:lpstr>
      <vt:lpstr>BackEvents</vt:lpstr>
      <vt:lpstr>BackNos</vt:lpstr>
      <vt:lpstr>BreastEvents</vt:lpstr>
      <vt:lpstr>BreastNos</vt:lpstr>
      <vt:lpstr>categories</vt:lpstr>
      <vt:lpstr>club</vt:lpstr>
      <vt:lpstr>clubs</vt:lpstr>
      <vt:lpstr>competitive</vt:lpstr>
      <vt:lpstr>firstSwimmers</vt:lpstr>
      <vt:lpstr>FlyEvents</vt:lpstr>
      <vt:lpstr>FlyNos</vt:lpstr>
      <vt:lpstr>FreeEvents</vt:lpstr>
      <vt:lpstr>FreeNos</vt:lpstr>
      <vt:lpstr>G8ANDU</vt:lpstr>
      <vt:lpstr>IMEvents</vt:lpstr>
      <vt:lpstr>IMNos</vt:lpstr>
      <vt:lpstr>participants!Print_Titles</vt:lpstr>
      <vt:lpstr>startNum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wareed</dc:creator>
  <cp:lastModifiedBy>wareed</cp:lastModifiedBy>
  <dcterms:created xsi:type="dcterms:W3CDTF">2017-08-04T00:58:08Z</dcterms:created>
  <dcterms:modified xsi:type="dcterms:W3CDTF">2022-07-27T23:25:01Z</dcterms:modified>
</cp:coreProperties>
</file>